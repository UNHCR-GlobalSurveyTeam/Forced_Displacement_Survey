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unhcr365-my.sharepoint.com/personal/bozdag_unhcr_org/Documents/Desktop/UNHCR/R projets/Forced_Displacement_Survey/Forced_Displacement_Survey/Indicators/Module X - Food Security/"/>
    </mc:Choice>
  </mc:AlternateContent>
  <xr:revisionPtr revIDLastSave="0" documentId="8_{C5F89E44-4D73-4872-A491-A03A240B98E2}" xr6:coauthVersionLast="47" xr6:coauthVersionMax="47" xr10:uidLastSave="{00000000-0000-0000-0000-000000000000}"/>
  <bookViews>
    <workbookView xWindow="-120" yWindow="-120" windowWidth="29040" windowHeight="15720" xr2:uid="{71467305-B65D-457F-BD1B-C4CBBE425872}"/>
  </bookViews>
  <sheets>
    <sheet name="NEW Food &amp; Nutrition" sheetId="1" r:id="rId1"/>
  </sheets>
  <externalReferences>
    <externalReference r:id="rId2"/>
  </externalReferences>
  <definedNames>
    <definedName name="_xlnm._FilterDatabase" localSheetId="0" hidden="1">'NEW Food &amp; Nutrition'!$B$2:$R$120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20" i="1" l="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1" i="1"/>
  <c r="K41" i="1"/>
  <c r="L40" i="1"/>
  <c r="K40" i="1"/>
  <c r="L39" i="1"/>
  <c r="K39" i="1"/>
  <c r="L38" i="1"/>
  <c r="K38" i="1"/>
  <c r="L37" i="1"/>
  <c r="K37" i="1"/>
  <c r="L36" i="1"/>
  <c r="K36" i="1"/>
  <c r="L35" i="1"/>
  <c r="K35" i="1"/>
  <c r="L34" i="1"/>
  <c r="K34" i="1"/>
  <c r="L33" i="1"/>
  <c r="K33"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4" i="1"/>
  <c r="K4" i="1"/>
</calcChain>
</file>

<file path=xl/sharedStrings.xml><?xml version="1.0" encoding="utf-8"?>
<sst xmlns="http://schemas.openxmlformats.org/spreadsheetml/2006/main" count="1027" uniqueCount="419">
  <si>
    <t>Module no</t>
  </si>
  <si>
    <t>Q_ID</t>
  </si>
  <si>
    <t>Variable</t>
  </si>
  <si>
    <t>Type</t>
  </si>
  <si>
    <t>Question</t>
  </si>
  <si>
    <t>Interviewer</t>
  </si>
  <si>
    <t>Response</t>
  </si>
  <si>
    <t>Condition Master Q.</t>
  </si>
  <si>
    <t>Condition Optional Q.</t>
  </si>
  <si>
    <t>Validation</t>
  </si>
  <si>
    <t>Message</t>
  </si>
  <si>
    <t>CLEANING:
KEEP/REMOVE</t>
  </si>
  <si>
    <t>CORE/OPTIONAL</t>
  </si>
  <si>
    <t>CORE INDICATOR</t>
  </si>
  <si>
    <t>ADDITIONAL INDICATOR</t>
  </si>
  <si>
    <t>Source</t>
  </si>
  <si>
    <t>Comments Coder</t>
  </si>
  <si>
    <t>Comments Internal</t>
  </si>
  <si>
    <t>Introduction</t>
  </si>
  <si>
    <t>We are now going to ask you a series of questions on your household food needs and food consumption.</t>
  </si>
  <si>
    <t>Keep</t>
  </si>
  <si>
    <t>Food_sec_intro</t>
  </si>
  <si>
    <t>Food00</t>
  </si>
  <si>
    <t>SS</t>
  </si>
  <si>
    <r>
      <t xml:space="preserve">In the </t>
    </r>
    <r>
      <rPr>
        <u/>
        <sz val="10"/>
        <rFont val="Times New Roman"/>
        <family val="1"/>
      </rPr>
      <t>past 7 days</t>
    </r>
    <r>
      <rPr>
        <sz val="10"/>
        <rFont val="Times New Roman"/>
        <family val="1"/>
      </rPr>
      <t>, from [the same week day as the day of the interview] last week up to yesterday, was there ever a time when there was not enough food or money for food in your household?</t>
    </r>
  </si>
  <si>
    <t>1. Yes  
2. No</t>
  </si>
  <si>
    <t>Optional</t>
  </si>
  <si>
    <t>MPI for FDP (OPHI/WB)</t>
  </si>
  <si>
    <t>MPI (OPHI &amp; WB)</t>
  </si>
  <si>
    <t>We would need this introductory question on food security if we decide to compute the new MPI adapted to forced displacement contexts.</t>
  </si>
  <si>
    <t xml:space="preserve">INSERT HERE 'FOOD DIVERSITY &amp;FOOD CONSUMPTION (IN)ADEQUACY' QUESTIONS: FROM INTRO BEFORE Food11a to Food19c. </t>
  </si>
  <si>
    <t>FOOD (IN)SECURITY/rCSI</t>
  </si>
  <si>
    <t>Food_sec</t>
  </si>
  <si>
    <t>Food01</t>
  </si>
  <si>
    <r>
      <t xml:space="preserve">I’m going to read several statements related to food situations that people can experience. Please tell us if one of the following situations has happened to you or any household member in the past </t>
    </r>
    <r>
      <rPr>
        <i/>
        <sz val="10"/>
        <color rgb="FFFF0000"/>
        <rFont val="Times New Roman"/>
        <family val="1"/>
      </rPr>
      <t>7 days</t>
    </r>
    <r>
      <rPr>
        <i/>
        <sz val="10"/>
        <rFont val="Times New Roman"/>
        <family val="1"/>
      </rPr>
      <t xml:space="preserve">:      
</t>
    </r>
  </si>
  <si>
    <t>optional</t>
  </si>
  <si>
    <t>rCSI</t>
  </si>
  <si>
    <t>US Aid adjusted (we replaced ‘4 weeks’ by ‘30 days’)</t>
  </si>
  <si>
    <r>
      <t xml:space="preserve">Note that in the field, we will do an experiment (split ballot) and ask the food insecurity/rCSI questions by referring either to the past 7 days or the past 30 days. The time reference will be allocated randomly. There is a trade-off between accuracy (more accurate recalls if the time period is short) and variability (more diverse situations can be captured if the time period is longer).    
</t>
    </r>
    <r>
      <rPr>
        <u/>
        <sz val="10"/>
        <rFont val="Times New Roman"/>
        <family val="1"/>
      </rPr>
      <t xml:space="preserve">Note that to capture  frequency, question Food_secX_freq will be asked if the timeframe is 30 days and question Food_secX_freq7 if the timeframe is 7 days. </t>
    </r>
  </si>
  <si>
    <t xml:space="preserve">Note that in the field, we will do an experiment (split ballot) and ask the food insecurity/rCSI questions by referring either to the past 7 days or the past 30 days. The time reference will be allocated randomly. There is a trade-off between accuracy (more accurate recalls if the time period is short) and variability (more diverse situations can be captured if the time period is longer).  </t>
  </si>
  <si>
    <t>Food_sec1</t>
  </si>
  <si>
    <t>Food01a</t>
  </si>
  <si>
    <t xml:space="preserve">In the past [30 days/7 days], did you worry that your household would not have enough food or money for food?  </t>
  </si>
  <si>
    <t>Remove</t>
  </si>
  <si>
    <t xml:space="preserve">US Aid adjusted </t>
  </si>
  <si>
    <t>Food_sec1_freq</t>
  </si>
  <si>
    <t>Food01b</t>
  </si>
  <si>
    <t>How often did you worry that your household would not have enough food or money for food in the past 30 days? Rarely, for example once or twice in the past 30 days; sometimes, for example three to ten times in the past 30 days; or often, for example more than ten times in the past 30 days?</t>
  </si>
  <si>
    <t>1 = Rarely, for example once or twice in the past 30 days  
2 = Sometimes, for example three to ten times in the past 30 days
3 = Often, for example more than ten times in the past 30 days</t>
  </si>
  <si>
    <t>Ask if Food01a=1</t>
  </si>
  <si>
    <t>Food_sec1_freq7</t>
  </si>
  <si>
    <t>Food01c</t>
  </si>
  <si>
    <t>OI</t>
  </si>
  <si>
    <t>During the past 7 days, how many days did you worry that your household would not have enough food or money for food?</t>
  </si>
  <si>
    <t>Number of days:</t>
  </si>
  <si>
    <t>SENS/WFP adjusted</t>
  </si>
  <si>
    <t>Food_sec2</t>
  </si>
  <si>
    <t>Food02a</t>
  </si>
  <si>
    <r>
      <t xml:space="preserve">In the past </t>
    </r>
    <r>
      <rPr>
        <sz val="10"/>
        <color rgb="FFFF0000"/>
        <rFont val="Times New Roman"/>
        <family val="1"/>
      </rPr>
      <t>7 days</t>
    </r>
    <r>
      <rPr>
        <sz val="10"/>
        <rFont val="Times New Roman"/>
        <family val="1"/>
      </rPr>
      <t>, did you or any household member have to eat less preferred and less expensive foods because of a lack of food or not enough money for food?</t>
    </r>
    <r>
      <rPr>
        <sz val="8"/>
        <rFont val="Calibri"/>
        <family val="2"/>
      </rPr>
      <t> </t>
    </r>
  </si>
  <si>
    <t>Food_sec2_freq</t>
  </si>
  <si>
    <t>Food02b</t>
  </si>
  <si>
    <t>How often did you or any household member have to eat less preferred and less expensive foods in the past 30 days?   Rarely, for example once or twice in the past 30 days; sometimes, for example three to ten times in the past 30 days; or often, for example more than ten times in the past 30 days?</t>
  </si>
  <si>
    <t>Ask if Food02a=1</t>
  </si>
  <si>
    <t>Food_sec2_freq7</t>
  </si>
  <si>
    <t>Food02c</t>
  </si>
  <si>
    <t xml:space="preserve">During the past 7 days, how many days did you or any household member have to eat less preferred and less expensive foods?   </t>
  </si>
  <si>
    <t>Food_sec3</t>
  </si>
  <si>
    <t>Food03a</t>
  </si>
  <si>
    <t>In the past [30 days/7 days], did you or any household member have to eat a limited variety of foods due to a lack of food or not enough money for food?</t>
  </si>
  <si>
    <t>Food_sec3_freq</t>
  </si>
  <si>
    <t>Food03b</t>
  </si>
  <si>
    <t>How often did you or any household member have to eat a limited variety of foods in the past 30 days? Rarely, for example once or twice in the past 30 days; sometimes, for example three to ten times in the past 30 days; or often, for example more than ten times in the past 30 days?</t>
  </si>
  <si>
    <t>Ask if Food03a=1</t>
  </si>
  <si>
    <t>Food_sec3_freq7</t>
  </si>
  <si>
    <t>Food03c</t>
  </si>
  <si>
    <t xml:space="preserve">During the past 7 days, how many days did you or any household member have to eat a limited variety of foods ?   </t>
  </si>
  <si>
    <t>Food_sec4</t>
  </si>
  <si>
    <t>Food04a</t>
  </si>
  <si>
    <t>In the past [30 days/7 days], did you or any household member have to eat some foods that you really did not want to eat because of a lack of food or not enough money for food?</t>
  </si>
  <si>
    <t>Food_sec4_freq</t>
  </si>
  <si>
    <t>Food04b</t>
  </si>
  <si>
    <t>How often did you or any household member have to eat some foods that you really did not want to eat in the past 30 days? Rarely, for example once or twice in the past 30 days; sometimes, for example three to ten times in the past 30 days; or often, for example more than ten times in the past 30 days?</t>
  </si>
  <si>
    <t>Ask if Food04a=1</t>
  </si>
  <si>
    <t>Food_sec4_freq7</t>
  </si>
  <si>
    <t>Food04c</t>
  </si>
  <si>
    <t xml:space="preserve">During the past 7 days, how many days did you or any household member have to eat some foods that you really did not want to eat?   </t>
  </si>
  <si>
    <t>Food_sec5</t>
  </si>
  <si>
    <t>Food05a</t>
  </si>
  <si>
    <r>
      <t xml:space="preserve">In the past </t>
    </r>
    <r>
      <rPr>
        <sz val="10"/>
        <color rgb="FFFF0000"/>
        <rFont val="Times New Roman"/>
        <family val="1"/>
      </rPr>
      <t>7 days</t>
    </r>
    <r>
      <rPr>
        <sz val="10"/>
        <rFont val="Times New Roman"/>
        <family val="1"/>
      </rPr>
      <t xml:space="preserve">, did your household had to borrow food or rely on help from a relative or friend to get more food or money to buy food?  </t>
    </r>
  </si>
  <si>
    <t xml:space="preserve">WFP adjusted </t>
  </si>
  <si>
    <t>Food_sec5_freq</t>
  </si>
  <si>
    <t>Food05b</t>
  </si>
  <si>
    <t>How often did your household had to borrow food or rely on help from a relative or friend to get more food or money to buy food in the past 30 days? Rarely, for example once or twice in the past 30 days; sometimes, for example three to ten times in the past 30 days; or often, for example more than ten times in the past 30 days?</t>
  </si>
  <si>
    <t>Ask if Food05a=1</t>
  </si>
  <si>
    <t>Food_sec5_freq7</t>
  </si>
  <si>
    <t>Food05c</t>
  </si>
  <si>
    <t xml:space="preserve">During the past 7 days, how many days did your household had to borrow food or rely on help from a relative or friend to get more food or money to buy food?   </t>
  </si>
  <si>
    <t>Food_sec6</t>
  </si>
  <si>
    <t>Food06a</t>
  </si>
  <si>
    <r>
      <t xml:space="preserve">In the past </t>
    </r>
    <r>
      <rPr>
        <sz val="10"/>
        <color rgb="FFFF0000"/>
        <rFont val="Times New Roman"/>
        <family val="1"/>
      </rPr>
      <t>7 days</t>
    </r>
    <r>
      <rPr>
        <sz val="10"/>
        <rFont val="Times New Roman"/>
        <family val="1"/>
      </rPr>
      <t>, did you or any household member have to eat a smaller meal than you felt you needed because there was not enough food or not enough money for food?</t>
    </r>
  </si>
  <si>
    <t>Food_sec6_freq</t>
  </si>
  <si>
    <t>Food06b</t>
  </si>
  <si>
    <t>How often did you or any household member have to eat a smaller meal than you felt you needed in the past 30 days? Rarely, for example once or twice in the past 30 days; sometimes, for example three to ten times in the past 30 days; or often, for example more than ten times in the past 30 days?</t>
  </si>
  <si>
    <t>Ask if Food06a=1</t>
  </si>
  <si>
    <t>Food_sec6_freq7</t>
  </si>
  <si>
    <t>Food06c</t>
  </si>
  <si>
    <t xml:space="preserve">During the past 7 days, how many days did you or any household member have to eat a smaller meal than you felt you needed ?   </t>
  </si>
  <si>
    <t>Food_sec7</t>
  </si>
  <si>
    <t>Food07a</t>
  </si>
  <si>
    <r>
      <t xml:space="preserve">In the past </t>
    </r>
    <r>
      <rPr>
        <sz val="10"/>
        <color rgb="FFFF0000"/>
        <rFont val="Times New Roman"/>
        <family val="1"/>
      </rPr>
      <t>7 days</t>
    </r>
    <r>
      <rPr>
        <sz val="10"/>
        <rFont val="Times New Roman"/>
        <family val="1"/>
      </rPr>
      <t xml:space="preserve">, did the adults in your household had to eat less in order to have more food for children under 5?  </t>
    </r>
  </si>
  <si>
    <t xml:space="preserve">DON’T ASK IN HOUSEHOLDS WIHTOUT CHILDREN UNDER 5 YEARS OF AGE. 
So, ask if HH_04&lt;5 for at least one HH member in household roster. </t>
  </si>
  <si>
    <t>Food_sec7_freq</t>
  </si>
  <si>
    <t>Food07b</t>
  </si>
  <si>
    <t>How often did the adults in your household had to eat less in order to have more food for children under 5 in the past 30 days? Rarely, for example once or twice in the past 30 days; sometimes, for example three to ten times in the past 30 days; or often, for example more than ten times in the past 30 days?</t>
  </si>
  <si>
    <t>Ask if Food07a=1</t>
  </si>
  <si>
    <t>Food_sec7_freq7</t>
  </si>
  <si>
    <t>Food07c</t>
  </si>
  <si>
    <t xml:space="preserve">During the past 7 days, how many days did the adults in your household had to eat less in order to have more food for children under 5?   </t>
  </si>
  <si>
    <t>Food_sec8</t>
  </si>
  <si>
    <t>Food08a</t>
  </si>
  <si>
    <r>
      <t xml:space="preserve">In the past </t>
    </r>
    <r>
      <rPr>
        <sz val="10"/>
        <color rgb="FFFF0000"/>
        <rFont val="Times New Roman"/>
        <family val="1"/>
      </rPr>
      <t>7 days</t>
    </r>
    <r>
      <rPr>
        <sz val="10"/>
        <rFont val="Times New Roman"/>
        <family val="1"/>
      </rPr>
      <t>, did you or any household member have to eat fewer meals in a day because there was not enough food or not enough money for food?</t>
    </r>
  </si>
  <si>
    <t>Food_sec8_freq</t>
  </si>
  <si>
    <t>Food08b</t>
  </si>
  <si>
    <t>How often did you or any household member have to eat fewer meals in a day in the past 30 days? Rarely, for example once or twice in the past 30 days; sometimes, for example three to ten times in the past 30 days; or often, for example more than ten times in the past 30 days?</t>
  </si>
  <si>
    <t>Ask if Food08a=1</t>
  </si>
  <si>
    <t>Food_sec8_freq7</t>
  </si>
  <si>
    <t>Food08c</t>
  </si>
  <si>
    <t xml:space="preserve">During the past 7 days, how many days did you or any household member have to eat fewer meals in a day?   </t>
  </si>
  <si>
    <t>Food09</t>
  </si>
  <si>
    <t>Now I’m going to read three other statements related to food situations that people can experience. This time, please let's focus on the past 30 days and tell us if one of the following situations has happened to you or any household member in these past 30 days:</t>
  </si>
  <si>
    <t>Core</t>
  </si>
  <si>
    <t>HHS</t>
  </si>
  <si>
    <t>Food_sec9</t>
  </si>
  <si>
    <t>Food09a</t>
  </si>
  <si>
    <r>
      <t xml:space="preserve">In the past </t>
    </r>
    <r>
      <rPr>
        <sz val="10"/>
        <color rgb="FFFF0000"/>
        <rFont val="Times New Roman"/>
        <family val="1"/>
      </rPr>
      <t>30 days</t>
    </r>
    <r>
      <rPr>
        <sz val="10"/>
        <rFont val="Times New Roman"/>
        <family val="1"/>
      </rPr>
      <t>, was there ever no food to eat of any kind in your household because you couldn't get food or you didn't have enough money for food?</t>
    </r>
  </si>
  <si>
    <t>Food_sec9_freq</t>
  </si>
  <si>
    <t>Food09b</t>
  </si>
  <si>
    <t>How often was there no food to eat of any kind in your household in the past 30 days? Rarely, for example once or twice in the past 30 days; sometimes, for example three to ten times in the past 30 days; or often, for example more than ten times in the past 30 days?</t>
  </si>
  <si>
    <t>Ask if Food09a=1</t>
  </si>
  <si>
    <t>Food_sec9_freq7</t>
  </si>
  <si>
    <t>Food09c</t>
  </si>
  <si>
    <t xml:space="preserve">During the past 7 days, how many days was there no food to eat of any kind in your household ?   </t>
  </si>
  <si>
    <t>Food_sec10</t>
  </si>
  <si>
    <t>Food10a</t>
  </si>
  <si>
    <r>
      <t xml:space="preserve">In the past </t>
    </r>
    <r>
      <rPr>
        <sz val="10"/>
        <color rgb="FFFF0000"/>
        <rFont val="Times New Roman"/>
        <family val="1"/>
      </rPr>
      <t>30 days</t>
    </r>
    <r>
      <rPr>
        <sz val="10"/>
        <rFont val="Times New Roman"/>
        <family val="1"/>
      </rPr>
      <t>, did you or any household member go to sleep at night hungry because there was not enough food or enough money for food?</t>
    </r>
  </si>
  <si>
    <t>Food_sec10_freq</t>
  </si>
  <si>
    <t>Food10b</t>
  </si>
  <si>
    <t>How often did you or any household member go to sleep at night hungry in the past 30 days?   Rarely, for example once or twice in the past 30 days; sometimes, for example three to ten times in the past 30 days; or often, for example more than ten times in the past 30 days?</t>
  </si>
  <si>
    <t>Ask if Food10a=1</t>
  </si>
  <si>
    <t>Food_sec10_freq7</t>
  </si>
  <si>
    <t>Food10c</t>
  </si>
  <si>
    <t xml:space="preserve">During the past 7 days, how many days did you or any household member go to sleep at night hungry?   </t>
  </si>
  <si>
    <t>Food_sec11</t>
  </si>
  <si>
    <t>Food11a</t>
  </si>
  <si>
    <r>
      <t xml:space="preserve">In the past </t>
    </r>
    <r>
      <rPr>
        <sz val="10"/>
        <color rgb="FFFF0000"/>
        <rFont val="Times New Roman"/>
        <family val="1"/>
      </rPr>
      <t>30 days</t>
    </r>
    <r>
      <rPr>
        <sz val="10"/>
        <rFont val="Times New Roman"/>
        <family val="1"/>
      </rPr>
      <t>, did you or any household member go a whole day and night without eating anything because there was not enough food or enough money for food?</t>
    </r>
  </si>
  <si>
    <t>Food_sec11_freq</t>
  </si>
  <si>
    <t>Food11b</t>
  </si>
  <si>
    <t>How often did you or any household member go a whole day and night without eating anything in the past 30 days? Rarely, for example once or twice in the past 30 days; sometimes, for example three to ten times in the past 30 days; or often, for example more than ten times in the past 30 days?</t>
  </si>
  <si>
    <t>Ask if Food11a=1</t>
  </si>
  <si>
    <t>Food_sec11_freq7</t>
  </si>
  <si>
    <t>Food11c</t>
  </si>
  <si>
    <t xml:space="preserve">During the past 7 days, how many days did you or any household member go a whole day and night without eating anything?   </t>
  </si>
  <si>
    <r>
      <rPr>
        <b/>
        <sz val="14"/>
        <rFont val="Times New Roman"/>
        <family val="1"/>
      </rPr>
      <t>LIVELIHOOD COPING STRATEGIES</t>
    </r>
    <r>
      <rPr>
        <sz val="14"/>
        <rFont val="Times New Roman"/>
        <family val="1"/>
      </rPr>
      <t> </t>
    </r>
    <r>
      <rPr>
        <sz val="14"/>
        <rFont val="Calibri"/>
        <family val="2"/>
        <scheme val="minor"/>
      </rPr>
      <t xml:space="preserve">: </t>
    </r>
    <r>
      <rPr>
        <b/>
        <sz val="14"/>
        <rFont val="Calibri"/>
        <family val="2"/>
        <scheme val="minor"/>
      </rPr>
      <t>MOVE TO OBJECTIVE WELLBEING!!!</t>
    </r>
  </si>
  <si>
    <t>The list of stategies is aligned with the WFP generic list. Tayloring at the country level might be necessary.</t>
  </si>
  <si>
    <t>Food_bneed</t>
  </si>
  <si>
    <t>Food10</t>
  </si>
  <si>
    <t xml:space="preserve">There are life circumstances when people have to make difficult decisions in order to help their family to survive and cover their basic needs, for example food, shelter, access to water and energy, health and education. I will read you a list of statements, please let me know if in the past 30 days you or anyone from your household had to do any of the following in order to meet household basic needs?       
</t>
  </si>
  <si>
    <t xml:space="preserve">Remind the respondent to refer to the past 30 days. </t>
  </si>
  <si>
    <t>core</t>
  </si>
  <si>
    <t>LCS indicator</t>
  </si>
  <si>
    <t>SENS survey   adjusted    WFP  adjusted    The list of strategies is inspired by these two  surveys.       For basic need definition: UNHCR document “Basic needs approach in the refugee response”.</t>
  </si>
  <si>
    <t xml:space="preserve">Rotate (Food10a - Food10x) strategies.     </t>
  </si>
  <si>
    <t>Livelihood coping strategies should be adjusted at the country level (some of the startegies might be hided)</t>
  </si>
  <si>
    <t>Food_bneed_a</t>
  </si>
  <si>
    <t xml:space="preserve">move to a poorer quality shelter   </t>
  </si>
  <si>
    <t xml:space="preserve">1. Yes  
2. No  
3. Volunteered response: No, because I have exhausted this strategy already and cannot do it anymore 
98. Don’t know 
99. Refuse to answer </t>
  </si>
  <si>
    <r>
      <rPr>
        <sz val="11"/>
        <color rgb="FFC00000"/>
        <rFont val="Times New Roman"/>
        <family val="1"/>
      </rPr>
      <t>Ask if Intro_08=2</t>
    </r>
    <r>
      <rPr>
        <sz val="11"/>
        <rFont val="Times New Roman"/>
        <family val="1"/>
      </rPr>
      <t xml:space="preserve">
AND 
if Intro_09=2 or 3</t>
    </r>
  </si>
  <si>
    <t xml:space="preserve">SENS survey   adjusted    WFP  adjusted  </t>
  </si>
  <si>
    <t>Food_bneed_b</t>
  </si>
  <si>
    <t>Food10bb</t>
  </si>
  <si>
    <t xml:space="preserve">ask for money from strangers, beg  </t>
  </si>
  <si>
    <t>Food_bneed_c</t>
  </si>
  <si>
    <t xml:space="preserve">send household members under the age of 15 to work  </t>
  </si>
  <si>
    <t>Ask if in the household roster there is at least one member for whom HH_04&lt;15  or HH_04=988 &amp; in HH_05, year&gt;(current year)-15
AND
Ask if Intro_09=2 or 3</t>
  </si>
  <si>
    <t>Food_bneed_d</t>
  </si>
  <si>
    <t>Food10d</t>
  </si>
  <si>
    <t xml:space="preserve">skip paying rent/debt repayments  </t>
  </si>
  <si>
    <t xml:space="preserve">1. Yes  
2. No  
3. Volunteered response: No, because I have exhausted this strategy already and cannot do it anymore
4. Volunteered response: No, no rent or debt 
98. Don’t know 
99. Refuse to answer </t>
  </si>
  <si>
    <t>Ask if Intro_09=2 or 3</t>
  </si>
  <si>
    <t>Food_bneed_e</t>
  </si>
  <si>
    <t>Food10e</t>
  </si>
  <si>
    <t>borrow money or take out loans from banks</t>
  </si>
  <si>
    <t xml:space="preserve">1. Yes  
2. No  
3. v.r.: No, because I have exhausted this strategy already and cannot do it anymore 
4. v.r.: No, impossible to borrow because everyone is in a critical situation
98. Don’t know 
99. Refuse to answer </t>
  </si>
  <si>
    <t>Food_bneed_f</t>
  </si>
  <si>
    <t>Food10f</t>
  </si>
  <si>
    <t xml:space="preserve">accept socially degrading, exploitative, high risk or illegal temporary jobs   </t>
  </si>
  <si>
    <t>Food_bneed_g</t>
  </si>
  <si>
    <t>Food10g</t>
  </si>
  <si>
    <t xml:space="preserve">sell productive assets or means of transport, for example a car, motorbike, plough, sewing machine, tools, seed stock, livestock, productive land.  </t>
  </si>
  <si>
    <t xml:space="preserve">1. Yes  
2. No  
3. Volunteered response: No, because I have exhausted this strategy already and cannot do it anymore 
4. Volunteered response: no assets that can be sold
98. Don’t know 
99. Refuse to answer </t>
  </si>
  <si>
    <t>Food_bneed_h</t>
  </si>
  <si>
    <t>Food10h</t>
  </si>
  <si>
    <t xml:space="preserve">spend savings    </t>
  </si>
  <si>
    <t xml:space="preserve">1. Yes  
2. No  
3. Volunteered response: No, because I have exhausted this strategy already and cannot do it anymore
4. Volunteered response: No, because I don't have savings 
98. Don’t know 
99. Refuse to answer </t>
  </si>
  <si>
    <t>Food_bneed_i</t>
  </si>
  <si>
    <t>Food10i</t>
  </si>
  <si>
    <t xml:space="preserve">reduce essential non-food expenditure on hygiene, water, baby items  </t>
  </si>
  <si>
    <t xml:space="preserve">1. Yes  
2. No  
3. v.r.: No, because I have exhausted this strategy already and cannot do it anymore 
4. v.r.: We don't buy these goods
98. Don’t know 
99. Refuse to answer </t>
  </si>
  <si>
    <t>Food_bneed_j</t>
  </si>
  <si>
    <t>Food10j</t>
  </si>
  <si>
    <t xml:space="preserve">reduce other essential non-food expenditure for example on education, health  </t>
  </si>
  <si>
    <t>Food_bneed_k</t>
  </si>
  <si>
    <t>Food10k</t>
  </si>
  <si>
    <t xml:space="preserve">buy food on credit     </t>
  </si>
  <si>
    <t>Food_bneed_l</t>
  </si>
  <si>
    <t>Food10l</t>
  </si>
  <si>
    <t xml:space="preserve">withdraw a female child under 18 from school    </t>
  </si>
  <si>
    <t>Ask if in the household roster there is at least one member for whom HH_02=2 &amp; HH_04&lt;18  OR HH_02=2 &amp; HH_04=988 &amp; in HH_05, year&gt;(current year)-18 OR HH_02=2 &amp; HH_04=988 &amp; in HH_05, year=9998.</t>
  </si>
  <si>
    <t>SENS survey   adjusted    WFP  adjusted    For school withdrawal, two statements one for female child and one for male child were introduced to allow for a gender perspective. The original question does not make this distinction</t>
  </si>
  <si>
    <t>Food_bneed_m</t>
  </si>
  <si>
    <t>Food10m</t>
  </si>
  <si>
    <t xml:space="preserve">withdraw a male child under 18 from school    </t>
  </si>
  <si>
    <t>Ask if in the household roster there is at least one member for whom HH_02=1 &amp; HH_04&lt;18  OR HH_02=1 &amp; HH_04=988 &amp; in HH_05, year&gt;(current year)-18 OR HH_02=1 &amp; HH_04=988 &amp; in HH_05, year=9998.</t>
  </si>
  <si>
    <t>Food_bneed_n</t>
  </si>
  <si>
    <t>Food10n</t>
  </si>
  <si>
    <t>encourage the marriage of a female child under 15</t>
  </si>
  <si>
    <t>Ask if in the household roster there is at least one member for whom HH_02=2 &amp; HH_04&lt;15  OR HH_02=2 &amp; HH_04=988 &amp; in HH_05, year&gt;(current year)-15</t>
  </si>
  <si>
    <t>Food10o</t>
  </si>
  <si>
    <t xml:space="preserve">send a household member to another location for work  </t>
  </si>
  <si>
    <t>Food_bneed_p</t>
  </si>
  <si>
    <t>Food10p</t>
  </si>
  <si>
    <t>Sell household assets, for example, radio, furniture, refrigerator, television, jewellery.</t>
  </si>
  <si>
    <t xml:space="preserve">1. Yes  
2. No  
3. Volunteered response: No, because I have exhausted this strategy already and cannot do it anymore 
4. Volunteered response: no assets to sell 
98. Don’t know 
99. Refuse to answer </t>
  </si>
  <si>
    <t xml:space="preserve">WFP </t>
  </si>
  <si>
    <t>Food_bneed_q</t>
  </si>
  <si>
    <t>Food10q</t>
  </si>
  <si>
    <t xml:space="preserve">Mortgage or sell ​house or land </t>
  </si>
  <si>
    <t xml:space="preserve">1. Yes  
2. No  
3. Volunteered response: No, because I have exhausted this strategy already and cannot do it anymore 
4. Volunteered response: the household has nor house neither land
98. Don’t know 
99. Refuse to answer </t>
  </si>
  <si>
    <t>Food_bneed_z</t>
  </si>
  <si>
    <t>Food10z</t>
  </si>
  <si>
    <t>Went to eat with another household</t>
  </si>
  <si>
    <t xml:space="preserve">1. Yes  
2. No  
98. Don’t know 
99. Refuse to answer </t>
  </si>
  <si>
    <t>Food_bneed_r</t>
  </si>
  <si>
    <t>Food10r</t>
  </si>
  <si>
    <t xml:space="preserve">Sold more animals than usual for this time of year </t>
  </si>
  <si>
    <t xml:space="preserve">1. Yes  
2. No  
3. Volunteered response: No, because I have exhausted this strategy already and cannot do it anymore 
4. Volunteered response: I have no animals
98. Don’t know 
99. Refuse to answer </t>
  </si>
  <si>
    <t>Ask if Intro_09=1</t>
  </si>
  <si>
    <t>WFP adjusted</t>
  </si>
  <si>
    <t>Food_bneed_s</t>
  </si>
  <si>
    <t>Food10s</t>
  </si>
  <si>
    <t>Collected wild foods more than usual  for this time of year</t>
  </si>
  <si>
    <t>Food_bneed_t</t>
  </si>
  <si>
    <t>Food10t</t>
  </si>
  <si>
    <t xml:space="preserve">Asked other community members for a support of food or other resources </t>
  </si>
  <si>
    <t xml:space="preserve">1. Yes  
2. No  
3. Volunteered response: No, because no one in the community is able to help 
98. Don’t know 
99. Refuse to answer </t>
  </si>
  <si>
    <t>Food_bneed_u</t>
  </si>
  <si>
    <t>Food10u</t>
  </si>
  <si>
    <t xml:space="preserve">Sent more household members than usual to cattle and/or fishing camps   </t>
  </si>
  <si>
    <t xml:space="preserve">1. Yes  
2. No  
3. Volunteered response: No, because I have exhausted this strategy already and cannot do it anymore 
98. Don’t know 
99. Refuse to answer </t>
  </si>
  <si>
    <t>Food_bneed_v</t>
  </si>
  <si>
    <t>Food10v</t>
  </si>
  <si>
    <t xml:space="preserve">Ate seeds intended for planting this season  </t>
  </si>
  <si>
    <t xml:space="preserve">1. Yes  
2. No  
3. Volunteered response: No, because I have exhausted this strategy already and cannot do it anymore 
4. Volunteered response: the household has no seeds because we do not plant
98. Don’t know 
99. Refuse to answer </t>
  </si>
  <si>
    <t>Food_bneed_w</t>
  </si>
  <si>
    <t>Food10w</t>
  </si>
  <si>
    <t>Sold the last of your livestock, for example cows, goats</t>
  </si>
  <si>
    <t xml:space="preserve">1. Yes  
2. No  
3. Volunteered response: No, because I have exhausted this strategy already and cannot do it anymore 
4. Volunteered response: the household has never had livestock
98. Don’t know 
99. Refuse to answer </t>
  </si>
  <si>
    <t>Food_bneed_x</t>
  </si>
  <si>
    <t>Food10x</t>
  </si>
  <si>
    <t xml:space="preserve">Went to another village to search or beg for food and other resources
</t>
  </si>
  <si>
    <t>Food_bneed_mr</t>
  </si>
  <si>
    <t>Food10.1</t>
  </si>
  <si>
    <r>
      <rPr>
        <sz val="10"/>
        <color rgb="FF000000"/>
        <rFont val="Times New Roman"/>
        <family val="1"/>
      </rPr>
      <t xml:space="preserve">For each of the decisions that you or other members of your household took in the past 30 days, could you tell us what was the </t>
    </r>
    <r>
      <rPr>
        <u/>
        <sz val="10"/>
        <color rgb="FF000000"/>
        <rFont val="Times New Roman"/>
        <family val="1"/>
      </rPr>
      <t>main reason</t>
    </r>
    <r>
      <rPr>
        <sz val="10"/>
        <color rgb="FF000000"/>
        <rFont val="Times New Roman"/>
        <family val="1"/>
      </rPr>
      <t xml:space="preserve"> for taking that decision? Which basic need were you seeking to fulfil? </t>
    </r>
  </si>
  <si>
    <t>1. to get food  
2. to pay rent  
3. to cover education expenses  
4. to cover health expenses  
5. to buy non-food items  
6. to access water/sanitation facilities  
7. To access essential dwelling services (electricity, energy, waste disposal…)  
8. To pay for existing debts  
96. Other: specify  
98. Don’t know  
99. Refuse to answer</t>
  </si>
  <si>
    <t>WFP</t>
  </si>
  <si>
    <t>Create a repeated group and ask question Food10.1 for all decisions identified in questions Food10a to Food10x</t>
  </si>
  <si>
    <r>
      <t>FOOD DIVERSITY &amp; FOOD CONSUMPTION (IN)ADEQUACY</t>
    </r>
    <r>
      <rPr>
        <b/>
        <sz val="14"/>
        <rFont val="Times New Roman"/>
        <family val="1"/>
      </rPr>
      <t> </t>
    </r>
  </si>
  <si>
    <t xml:space="preserve">I will now ask you a series of questions on the consumption of food in your household. </t>
  </si>
  <si>
    <t>Food_div1</t>
  </si>
  <si>
    <t>Food11aa</t>
  </si>
  <si>
    <t>How many days over the past 7 days, did most members of your household, more than half of them, eat any of the following food: Cereals, grains, roots and tubers Rice, pasta, bread, sorghum, millet, maize, potato, yam, cassava, white sweet potato</t>
  </si>
  <si>
    <t>Write 0 if not consumed in past 7 days</t>
  </si>
  <si>
    <t>Nb of days:</t>
  </si>
  <si>
    <t>FCS/FCS-N</t>
  </si>
  <si>
    <t>SENS  &amp;  WFP adjusted</t>
  </si>
  <si>
    <t>Note that in the field, we will do an experiment (split ballot). Ask questions Food_div1 to Food_div9 with (half sample) or withtout rotation (half sample). If rotation, questions Fodd_divX, Food_divX_so and Food_divX_suf should be kept together as a 'package' (so rotation of 'packages').</t>
  </si>
  <si>
    <t>Food_div1_so</t>
  </si>
  <si>
    <t>Food11bb</t>
  </si>
  <si>
    <t>How was this food acquired?  Please tell the main source of food for the past 7 days</t>
  </si>
  <si>
    <t xml:space="preserve">1. Own production (crops, livestock, fishing/hunting, gathering)  
2. Bought with money from market 
3. Barter trade  
4. Aid from NGOs/International organisations  
5. Aid from peers (family relatives, friends, neighbours) 
96. Other: specify  
98. Don’t know 
99. Refuse to answer  </t>
  </si>
  <si>
    <t>Ask if Food11a != 0</t>
  </si>
  <si>
    <t xml:space="preserve">Distribution of the origin of the consumed food, by food item. </t>
  </si>
  <si>
    <t>Food_div1_suf</t>
  </si>
  <si>
    <t>Food11cc</t>
  </si>
  <si>
    <t xml:space="preserve">In the past 7 days, would you say that the quantity eaten was sufficient, insufficient to cover the household needs, or you don’t know?   </t>
  </si>
  <si>
    <t xml:space="preserve">1. sufficient  
2. insufficient  
3. Don’t know  </t>
  </si>
  <si>
    <t>NEW</t>
  </si>
  <si>
    <t>Food_div2</t>
  </si>
  <si>
    <t>Food12a</t>
  </si>
  <si>
    <t>How many days over the past 7 days, did most members of your household, more than half of them, eat any of the following food:    Pulses/ legumes / nuts: beans, cowpeas, peanuts, lentils, nut, soy, pigeon pea and / or other nuts</t>
  </si>
  <si>
    <t>Food_div2_so</t>
  </si>
  <si>
    <t>Food12b</t>
  </si>
  <si>
    <t>Ask if Food12a != 0</t>
  </si>
  <si>
    <t>Food_div2_suf</t>
  </si>
  <si>
    <t>Food12c</t>
  </si>
  <si>
    <t>Food_div3</t>
  </si>
  <si>
    <t>Food13a</t>
  </si>
  <si>
    <t xml:space="preserve">And what about:    Milk and other dairy products: fresh milk / sour, yogurt, cheese, other dairy products. Exclude margarine / butter or small amounts of milk for tea / coffee.  </t>
  </si>
  <si>
    <t>Food_div3_so</t>
  </si>
  <si>
    <t>Food13b</t>
  </si>
  <si>
    <r>
      <t>What was the</t>
    </r>
    <r>
      <rPr>
        <u/>
        <sz val="10"/>
        <rFont val="Times New Roman"/>
        <family val="1"/>
      </rPr>
      <t xml:space="preserve"> main source</t>
    </r>
    <r>
      <rPr>
        <sz val="10"/>
        <rFont val="Times New Roman"/>
        <family val="1"/>
      </rPr>
      <t xml:space="preserve"> of this food for the past 7 days?</t>
    </r>
  </si>
  <si>
    <t>Ask if Food13a != 0</t>
  </si>
  <si>
    <t>Food_div3_suf</t>
  </si>
  <si>
    <t>Food13c</t>
  </si>
  <si>
    <t>Food_div4</t>
  </si>
  <si>
    <t>Food14a</t>
  </si>
  <si>
    <t>And what about:    Meat, fish and eggs:  goat, beef, chicken, pork, blood, fish, including canned tuna, escargot, and / or other seafood, eggs. Report ony meat and fish consumed in large quantities and not as a condiment.</t>
  </si>
  <si>
    <t>Food_div4_so</t>
  </si>
  <si>
    <t>Food14b</t>
  </si>
  <si>
    <t>Ask if Food14a != 0</t>
  </si>
  <si>
    <t>Food_div4_suf</t>
  </si>
  <si>
    <t>Food14c</t>
  </si>
  <si>
    <t>Food_div4.1</t>
  </si>
  <si>
    <t>Food14.1a</t>
  </si>
  <si>
    <t>And What about    Flesh meat:  beef, pork, lamb, goat, rabbit, chicken, duck, other birds, insects</t>
  </si>
  <si>
    <t>Food_div4.1_so</t>
  </si>
  <si>
    <t>Food14.1b</t>
  </si>
  <si>
    <t>Ask if Food14.1a != 0</t>
  </si>
  <si>
    <t>Food_div4.1_suf</t>
  </si>
  <si>
    <t>Food14.1c</t>
  </si>
  <si>
    <t>Food_div4.2</t>
  </si>
  <si>
    <t>Food14.2a</t>
  </si>
  <si>
    <t>How many days over the past 7 days, did most members of your household,more than half of them, eat any of the following food:    Organ meat:  liver, kidney, heart and / or other organ meats</t>
  </si>
  <si>
    <t>Food_div4.2_so</t>
  </si>
  <si>
    <t>Food14.2b</t>
  </si>
  <si>
    <t>Ask if Food14.2a != 0</t>
  </si>
  <si>
    <t>Food_div4.2_suf</t>
  </si>
  <si>
    <t>Food14.2c</t>
  </si>
  <si>
    <t>Food_div4.3</t>
  </si>
  <si>
    <t>Food14.3a</t>
  </si>
  <si>
    <t>And what about: Fish/shellfish:  fish, including canned tuna, escargot, and / or other seafood. Report only fish consumed in large quantities and not as a condiment.</t>
  </si>
  <si>
    <t>Food_div4.3_so</t>
  </si>
  <si>
    <t>Food14.3b</t>
  </si>
  <si>
    <t>Ask if Food14.3a != 0</t>
  </si>
  <si>
    <t>Food_div4.3_suf</t>
  </si>
  <si>
    <t>Food14.3c</t>
  </si>
  <si>
    <t>Food_div4.4</t>
  </si>
  <si>
    <t>Food14.4a</t>
  </si>
  <si>
    <t>And what about: Eggs</t>
  </si>
  <si>
    <t>Food_div4.4_so</t>
  </si>
  <si>
    <t>Food14.4b</t>
  </si>
  <si>
    <t>Ask if Food14.4a != 0</t>
  </si>
  <si>
    <t>Food_div4.4_suf</t>
  </si>
  <si>
    <t>Food14.4c</t>
  </si>
  <si>
    <t>Food_div5</t>
  </si>
  <si>
    <t>Food15a</t>
  </si>
  <si>
    <t>And what about: Vegetables and leaves: spinach, onion, tomatoes, carrots, peppers, green beans, lettuce, etc</t>
  </si>
  <si>
    <t>Food_div5_so</t>
  </si>
  <si>
    <t>Food15b</t>
  </si>
  <si>
    <t>Ask if Food15a != 0</t>
  </si>
  <si>
    <t>Food_div5_suf</t>
  </si>
  <si>
    <t>Food15c</t>
  </si>
  <si>
    <t>Food_div5.1</t>
  </si>
  <si>
    <t>Food15.1a</t>
  </si>
  <si>
    <t>How many days over the past 7 days, did most members of your household, more than half of them, eat any of the following food:    Orange vegetables, i.e. vegetables rich in Vitamin A: carrot, red pepper, pumpkin, orange sweet potatoes,</t>
  </si>
  <si>
    <t>Food_div5.1_so</t>
  </si>
  <si>
    <t>Food15.1b</t>
  </si>
  <si>
    <t>Ask if Food15.1a != 0</t>
  </si>
  <si>
    <t>Food_div5.1_suf</t>
  </si>
  <si>
    <t>Food15.1c</t>
  </si>
  <si>
    <t>Food_div5.2</t>
  </si>
  <si>
    <t>Food15.2a</t>
  </si>
  <si>
    <t>And what about: Green leafy vegetables: spinach, broccoli, amaranth and / or other dark green leaves, cassava leaves</t>
  </si>
  <si>
    <t>Food_div5.2_so</t>
  </si>
  <si>
    <t>Food15.2b</t>
  </si>
  <si>
    <t>Ask if Food15.2a != 0</t>
  </si>
  <si>
    <t>Food_div5.2_suf</t>
  </si>
  <si>
    <t>Food15.2c</t>
  </si>
  <si>
    <t>Food_div6</t>
  </si>
  <si>
    <t>Food16a</t>
  </si>
  <si>
    <t>And what about:Fruits: banana, apple, lemon, mango, papaya, apricot, peach, etc</t>
  </si>
  <si>
    <t>Food_div6_so</t>
  </si>
  <si>
    <t>Food16b</t>
  </si>
  <si>
    <t>Ask if Food16a != 0</t>
  </si>
  <si>
    <t>Food_div6_suf</t>
  </si>
  <si>
    <t>Food16c</t>
  </si>
  <si>
    <t>Food_div6.1</t>
  </si>
  <si>
    <t>Food16.1a</t>
  </si>
  <si>
    <t>And what about:Orange fruits, i.e. fruits rich in Vitamin A: mango, papaya, apricot, peach</t>
  </si>
  <si>
    <t>Food_div6.1_so</t>
  </si>
  <si>
    <t>Food16.1b</t>
  </si>
  <si>
    <t>Ask if Food16.1a != 0</t>
  </si>
  <si>
    <t>Food_div6.1_suf</t>
  </si>
  <si>
    <t>Food16.1c</t>
  </si>
  <si>
    <t>Food_div7</t>
  </si>
  <si>
    <t>Food17a</t>
  </si>
  <si>
    <t>How many days over the past 7 days, did most members of your household, more than half of them, eat any of the following food:    Oil / fat / butter: vegetable oil, palm oil, shea butter, margarine, other fats / oil</t>
  </si>
  <si>
    <t>Food_div7_so</t>
  </si>
  <si>
    <t>Food17b</t>
  </si>
  <si>
    <t>Ask if Food17a != 0</t>
  </si>
  <si>
    <t>Food_div7_suf</t>
  </si>
  <si>
    <t>Food17c</t>
  </si>
  <si>
    <t>Food_div8</t>
  </si>
  <si>
    <t>Food18a</t>
  </si>
  <si>
    <t>And what about: Sugar, or sweet: sugar, honey, jam, cakes, candy, cookies, pastries, cakes and other sweet, for example sugary drinks.</t>
  </si>
  <si>
    <t>Food_div8_so</t>
  </si>
  <si>
    <t>Food18b</t>
  </si>
  <si>
    <t>Ask if Food18a != 0</t>
  </si>
  <si>
    <t>Food_div8_suf</t>
  </si>
  <si>
    <t>Food18c</t>
  </si>
  <si>
    <t>Food_div9</t>
  </si>
  <si>
    <t>Food19a</t>
  </si>
  <si>
    <t>And what about:     Condiments / Spices: tea, coffee / cocoa, salt, garlic, spices, yeast / baking powder, lanwin, tomato / sauce, meat or fish as a condiment, condiments including small amount of milk / tea coffee.</t>
  </si>
  <si>
    <t>Food_div9_so</t>
  </si>
  <si>
    <t>Food19b</t>
  </si>
  <si>
    <t>Ask if Food19a != 0</t>
  </si>
  <si>
    <t>Food_div9_suf</t>
  </si>
  <si>
    <t>Food19c</t>
  </si>
  <si>
    <t xml:space="preserve">In the past 7 days, would you say that the quantity eaten was sufficient, insufficient to cover the household needs, or you don’t know?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</si>
</sst>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Calibri"/>
      <family val="2"/>
      <scheme val="minor"/>
    </font>
    <font>
      <b/>
      <sz val="11"/>
      <color theme="1"/>
      <name val="Calibri"/>
      <family val="2"/>
      <scheme val="minor"/>
    </font>
    <font>
      <sz val="12"/>
      <name val="Calibri"/>
      <family val="2"/>
      <scheme val="minor"/>
    </font>
    <font>
      <b/>
      <sz val="11"/>
      <name val="Calibri"/>
      <family val="2"/>
      <scheme val="minor"/>
    </font>
    <font>
      <sz val="10"/>
      <name val="Times New Roman"/>
      <family val="1"/>
    </font>
    <font>
      <i/>
      <sz val="10"/>
      <name val="Times New Roman"/>
      <family val="1"/>
    </font>
    <font>
      <b/>
      <sz val="10"/>
      <name val="Times New Roman"/>
      <family val="1"/>
    </font>
    <font>
      <u/>
      <sz val="10"/>
      <name val="Times New Roman"/>
      <family val="1"/>
    </font>
    <font>
      <i/>
      <sz val="10"/>
      <color rgb="FFFF0000"/>
      <name val="Times New Roman"/>
      <family val="1"/>
    </font>
    <font>
      <sz val="10"/>
      <color rgb="FFFF0000"/>
      <name val="Times New Roman"/>
      <family val="1"/>
    </font>
    <font>
      <sz val="8"/>
      <name val="Calibri"/>
      <family val="2"/>
    </font>
    <font>
      <sz val="10"/>
      <name val="Calibri"/>
      <family val="2"/>
    </font>
    <font>
      <sz val="14"/>
      <name val="Calibri"/>
      <family val="2"/>
      <scheme val="minor"/>
    </font>
    <font>
      <b/>
      <sz val="14"/>
      <name val="Times New Roman"/>
      <family val="1"/>
    </font>
    <font>
      <sz val="14"/>
      <name val="Times New Roman"/>
      <family val="1"/>
    </font>
    <font>
      <b/>
      <sz val="14"/>
      <name val="Calibri"/>
      <family val="2"/>
      <scheme val="minor"/>
    </font>
    <font>
      <sz val="12"/>
      <name val="Times New Roman"/>
      <family val="1"/>
    </font>
    <font>
      <sz val="11"/>
      <name val="Times New Roman"/>
      <family val="1"/>
    </font>
    <font>
      <sz val="11"/>
      <color rgb="FFC00000"/>
      <name val="Times New Roman"/>
      <family val="1"/>
    </font>
    <font>
      <sz val="11"/>
      <name val="Calibri"/>
      <family val="2"/>
      <scheme val="minor"/>
    </font>
    <font>
      <sz val="10"/>
      <color rgb="FF000000"/>
      <name val="Times New Roman"/>
      <family val="1"/>
    </font>
    <font>
      <u/>
      <sz val="10"/>
      <color rgb="FF000000"/>
      <name val="Times New Roman"/>
      <family val="1"/>
    </font>
    <font>
      <b/>
      <sz val="10"/>
      <name val="Calibri"/>
      <family val="2"/>
      <scheme val="minor"/>
    </font>
    <font>
      <sz val="10"/>
      <name val="Calibri"/>
      <family val="2"/>
      <scheme val="minor"/>
    </font>
    <font>
      <i/>
      <sz val="10"/>
      <name val="Calibri"/>
      <family val="2"/>
      <scheme val="minor"/>
    </font>
    <font>
      <sz val="8"/>
      <name val="Calibri"/>
      <family val="2"/>
      <scheme val="minor"/>
    </font>
  </fonts>
  <fills count="5">
    <fill>
      <patternFill patternType="none"/>
    </fill>
    <fill>
      <patternFill patternType="gray125"/>
    </fill>
    <fill>
      <patternFill patternType="solid">
        <fgColor rgb="FFFF3399"/>
        <bgColor indexed="64"/>
      </patternFill>
    </fill>
    <fill>
      <patternFill patternType="solid">
        <fgColor rgb="FFFFCCFF"/>
        <bgColor indexed="64"/>
      </patternFill>
    </fill>
    <fill>
      <patternFill patternType="solid">
        <fgColor theme="9" tint="0.79998168889431442"/>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right style="medium">
        <color indexed="64"/>
      </right>
      <top/>
      <bottom/>
      <diagonal/>
    </border>
    <border>
      <left/>
      <right/>
      <top style="medium">
        <color indexed="64"/>
      </top>
      <bottom/>
      <diagonal/>
    </border>
  </borders>
  <cellStyleXfs count="1">
    <xf numFmtId="0" fontId="0" fillId="0" borderId="0"/>
  </cellStyleXfs>
  <cellXfs count="56">
    <xf numFmtId="0" fontId="0" fillId="0" borderId="0" xfId="0"/>
    <xf numFmtId="0" fontId="2" fillId="0" borderId="0" xfId="0" applyFont="1" applyAlignment="1">
      <alignment horizontal="left" vertical="top" wrapText="1"/>
    </xf>
    <xf numFmtId="0" fontId="2" fillId="0" borderId="0" xfId="0" applyFont="1" applyAlignment="1">
      <alignment horizontal="left" vertical="top"/>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2" xfId="0" applyFont="1" applyBorder="1" applyAlignment="1">
      <alignment horizontal="left" vertical="top"/>
    </xf>
    <xf numFmtId="0" fontId="3" fillId="0" borderId="1" xfId="0" applyFont="1" applyBorder="1" applyAlignment="1">
      <alignment vertical="center" wrapText="1"/>
    </xf>
    <xf numFmtId="0" fontId="1" fillId="0" borderId="2"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horizontal="left" vertical="top" wrapText="1"/>
    </xf>
    <xf numFmtId="0" fontId="2" fillId="0" borderId="1" xfId="0" applyFont="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5" fillId="0" borderId="5" xfId="0" applyFont="1" applyBorder="1" applyAlignment="1">
      <alignment horizontal="left" vertical="top" wrapText="1"/>
    </xf>
    <xf numFmtId="0" fontId="6" fillId="0" borderId="5" xfId="0" applyFont="1" applyBorder="1" applyAlignment="1">
      <alignment horizontal="left" vertical="top" wrapText="1"/>
    </xf>
    <xf numFmtId="0" fontId="4" fillId="0" borderId="5" xfId="0" applyFont="1" applyBorder="1" applyAlignment="1">
      <alignment horizontal="left" vertical="top"/>
    </xf>
    <xf numFmtId="0" fontId="2" fillId="2" borderId="6" xfId="0" applyFont="1" applyFill="1" applyBorder="1" applyAlignment="1">
      <alignment horizontal="left" vertical="top" wrapText="1"/>
    </xf>
    <xf numFmtId="0" fontId="2" fillId="2" borderId="3" xfId="0" applyFont="1" applyFill="1" applyBorder="1" applyAlignment="1">
      <alignment horizontal="left" vertical="top" wrapText="1"/>
    </xf>
    <xf numFmtId="0" fontId="6" fillId="0" borderId="7" xfId="0" applyFont="1" applyBorder="1" applyAlignment="1">
      <alignment horizontal="left" vertical="top" wrapText="1"/>
    </xf>
    <xf numFmtId="0" fontId="4" fillId="0" borderId="7" xfId="0" applyFont="1" applyBorder="1" applyAlignment="1">
      <alignment horizontal="left" vertical="top" wrapText="1"/>
    </xf>
    <xf numFmtId="0" fontId="2"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3" xfId="0" applyFont="1" applyBorder="1" applyAlignment="1">
      <alignment horizontal="left" vertical="top" wrapText="1"/>
    </xf>
    <xf numFmtId="0" fontId="3" fillId="0" borderId="2" xfId="0" applyFont="1" applyBorder="1" applyAlignment="1">
      <alignment horizontal="left" vertical="top" wrapText="1"/>
    </xf>
    <xf numFmtId="0" fontId="4" fillId="0" borderId="8" xfId="0" applyFont="1" applyBorder="1" applyAlignment="1">
      <alignment horizontal="left" vertical="top" wrapText="1"/>
    </xf>
    <xf numFmtId="0" fontId="4" fillId="0" borderId="7" xfId="0" applyFont="1" applyBorder="1" applyAlignment="1">
      <alignment horizontal="left" vertical="top"/>
    </xf>
    <xf numFmtId="0" fontId="11" fillId="0" borderId="5" xfId="0" applyFont="1" applyBorder="1" applyAlignment="1">
      <alignment horizontal="left" vertical="top" wrapText="1"/>
    </xf>
    <xf numFmtId="0" fontId="4" fillId="0" borderId="1" xfId="0" applyFont="1" applyBorder="1" applyAlignment="1">
      <alignment horizontal="left" vertical="top" wrapText="1"/>
    </xf>
    <xf numFmtId="0" fontId="12" fillId="0" borderId="0" xfId="0" applyFont="1"/>
    <xf numFmtId="0" fontId="12" fillId="2" borderId="3" xfId="0" applyFont="1" applyFill="1" applyBorder="1" applyAlignment="1">
      <alignment horizontal="left" vertical="top" wrapText="1"/>
    </xf>
    <xf numFmtId="0" fontId="12" fillId="2" borderId="9" xfId="0" applyFont="1" applyFill="1" applyBorder="1" applyAlignment="1">
      <alignment horizontal="left" vertical="top" wrapText="1"/>
    </xf>
    <xf numFmtId="0" fontId="12" fillId="2" borderId="2" xfId="0" applyFont="1" applyFill="1" applyBorder="1" applyAlignment="1">
      <alignment horizontal="left" vertical="top" wrapText="1"/>
    </xf>
    <xf numFmtId="0" fontId="2" fillId="3" borderId="6" xfId="0" applyFont="1" applyFill="1" applyBorder="1" applyAlignment="1">
      <alignment horizontal="left" vertical="top" wrapText="1"/>
    </xf>
    <xf numFmtId="0" fontId="2" fillId="3" borderId="3" xfId="0" applyFont="1" applyFill="1" applyBorder="1" applyAlignment="1">
      <alignment horizontal="left" vertical="top" wrapText="1"/>
    </xf>
    <xf numFmtId="0" fontId="2" fillId="3" borderId="7" xfId="0" applyFont="1" applyFill="1" applyBorder="1" applyAlignment="1">
      <alignment horizontal="left" vertical="top" wrapText="1"/>
    </xf>
    <xf numFmtId="0" fontId="2" fillId="0" borderId="7" xfId="0" applyFont="1" applyBorder="1" applyAlignment="1">
      <alignment horizontal="left" vertical="top" wrapText="1"/>
    </xf>
    <xf numFmtId="0" fontId="2" fillId="0" borderId="1" xfId="0" applyFont="1" applyBorder="1" applyAlignment="1">
      <alignment horizontal="left" vertical="top"/>
    </xf>
    <xf numFmtId="0" fontId="16" fillId="0" borderId="1" xfId="0" applyFont="1" applyBorder="1" applyAlignment="1">
      <alignment horizontal="left" vertical="top" wrapText="1"/>
    </xf>
    <xf numFmtId="0" fontId="17" fillId="3" borderId="4" xfId="0" applyFont="1" applyFill="1" applyBorder="1" applyAlignment="1">
      <alignment horizontal="left" vertical="top" wrapText="1"/>
    </xf>
    <xf numFmtId="0" fontId="17" fillId="3" borderId="5" xfId="0" applyFont="1" applyFill="1" applyBorder="1" applyAlignment="1">
      <alignment horizontal="left" vertical="top" wrapText="1"/>
    </xf>
    <xf numFmtId="0" fontId="4" fillId="4" borderId="5" xfId="0" applyFont="1" applyFill="1" applyBorder="1" applyAlignment="1">
      <alignment horizontal="left" vertical="top" wrapText="1"/>
    </xf>
    <xf numFmtId="0" fontId="17" fillId="0" borderId="1" xfId="0" applyFont="1" applyBorder="1" applyAlignment="1">
      <alignment horizontal="left" vertical="top" wrapText="1"/>
    </xf>
    <xf numFmtId="0" fontId="17" fillId="0" borderId="5" xfId="0" applyFont="1" applyBorder="1" applyAlignment="1">
      <alignment horizontal="left" vertical="top" wrapText="1"/>
    </xf>
    <xf numFmtId="0" fontId="4" fillId="4" borderId="1" xfId="0" applyFont="1" applyFill="1" applyBorder="1" applyAlignment="1">
      <alignment horizontal="left" vertical="top" wrapText="1"/>
    </xf>
    <xf numFmtId="0" fontId="19" fillId="0" borderId="1" xfId="0" applyFont="1" applyBorder="1" applyAlignment="1">
      <alignment horizontal="left" vertical="top" wrapText="1"/>
    </xf>
    <xf numFmtId="0" fontId="19" fillId="0" borderId="5" xfId="0" applyFont="1" applyBorder="1" applyAlignment="1">
      <alignment horizontal="left" vertical="top" wrapText="1"/>
    </xf>
    <xf numFmtId="0" fontId="2" fillId="0" borderId="4" xfId="0" applyFont="1" applyBorder="1" applyAlignment="1">
      <alignment horizontal="left" vertical="top" wrapText="1"/>
    </xf>
    <xf numFmtId="0" fontId="20" fillId="0" borderId="5" xfId="0" applyFont="1" applyBorder="1" applyAlignment="1">
      <alignment horizontal="left" vertical="top" wrapText="1"/>
    </xf>
    <xf numFmtId="0" fontId="15" fillId="0" borderId="6" xfId="0" applyFont="1" applyBorder="1" applyAlignment="1">
      <alignment horizontal="left" vertical="top" wrapText="1"/>
    </xf>
    <xf numFmtId="0" fontId="15" fillId="0" borderId="3" xfId="0" applyFont="1" applyBorder="1" applyAlignment="1">
      <alignment horizontal="left" vertical="top" wrapText="1"/>
    </xf>
    <xf numFmtId="0" fontId="15" fillId="0" borderId="2" xfId="0" applyFont="1" applyBorder="1" applyAlignment="1">
      <alignment horizontal="left" vertical="top" wrapText="1"/>
    </xf>
    <xf numFmtId="0" fontId="22" fillId="0" borderId="1" xfId="0" applyFont="1" applyBorder="1" applyAlignment="1">
      <alignment horizontal="left" vertical="top" wrapText="1"/>
    </xf>
    <xf numFmtId="0" fontId="23" fillId="0" borderId="1" xfId="0" applyFont="1" applyBorder="1" applyAlignment="1">
      <alignment horizontal="left" vertical="top" wrapText="1"/>
    </xf>
    <xf numFmtId="0" fontId="24" fillId="0" borderId="1" xfId="0" applyFont="1" applyBorder="1" applyAlignment="1">
      <alignment horizontal="left" vertical="top" wrapText="1"/>
    </xf>
    <xf numFmtId="0" fontId="22" fillId="0" borderId="1" xfId="0" applyFont="1" applyBorder="1" applyAlignment="1">
      <alignment horizontal="left" vertical="top"/>
    </xf>
    <xf numFmtId="0" fontId="25"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unhcr365.sharepoint.com/teams/eo-gdssds-GlobalSurveyTeam/Shared%20Documents/300%20-%20ST%20-%20Survey%20Team%20-%20Main/Survey%20Programme%20Team/Projects/FDS/Instrument/Revisions%202026/Master%20files%20revised/FDS_HoH%20Questionnaire_Master%20Form_Revised_v01.xlsx" TargetMode="External"/><Relationship Id="rId2" Type="http://schemas.microsoft.com/office/2019/04/relationships/externalLinkLongPath" Target="https://unhcr365.sharepoint.com/teams/eo-gdssds-GlobalSurveyTeam/Shared%20Documents/300%20-%20ST%20-%20Survey%20Team%20-%20Main/Survey%20Programme%20Team/Projects/FDS/Instrument/Revisions%202026/Master%20files%20revised/FDS_HoH%20Questionnaire_Master%20Form_Revised_v01.xlsx?5EBA8C6C" TargetMode="External"/><Relationship Id="rId1" Type="http://schemas.openxmlformats.org/officeDocument/2006/relationships/externalLinkPath" Target="file:///\\5EBA8C6C\FDS_HoH%20Questionnaire_Master%20Form_Revised_v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Validation"/>
      <sheetName val="Intro Quest"/>
      <sheetName val="HH Definition"/>
      <sheetName val="HH Roster"/>
      <sheetName val="ID quest"/>
      <sheetName val="Disabilities"/>
      <sheetName val="Documentation"/>
      <sheetName val="Sheet1"/>
      <sheetName val="Sheet2"/>
      <sheetName val="Sheet3"/>
      <sheetName val="Sheet4"/>
      <sheetName val="Displacement History Ref-Asyl"/>
      <sheetName val="Displacement History IDPs"/>
      <sheetName val="DH Refugee Returnees"/>
      <sheetName val="Shelter"/>
      <sheetName val="Wash"/>
      <sheetName val="Clean Energy"/>
      <sheetName val="Assets"/>
      <sheetName val="Mosquito nets NEW"/>
      <sheetName val="Mosquito nets"/>
      <sheetName val="Land &amp; Property"/>
      <sheetName val="Livestock"/>
      <sheetName val="Fishery"/>
      <sheetName val="NEW Food &amp; Nutrition"/>
      <sheetName val="Food &amp; Nutrition"/>
      <sheetName val="Objective wellbeing"/>
      <sheetName val="Remittances"/>
      <sheetName val="Exp. Of shocks"/>
      <sheetName val="Social Protection"/>
      <sheetName val="Child labor"/>
      <sheetName val="Observations"/>
      <sheetName val="Banking for hh roster"/>
    </sheetNames>
    <sheetDataSet>
      <sheetData sheetId="0">
        <row r="1">
          <cell r="W1" t="str">
            <v>FOR SSD FORM</v>
          </cell>
        </row>
        <row r="2">
          <cell r="W2" t="str">
            <v>Early 2023</v>
          </cell>
        </row>
        <row r="3">
          <cell r="E3" t="str">
            <v>Q_ID</v>
          </cell>
          <cell r="F3" t="str">
            <v>Variable</v>
          </cell>
          <cell r="G3" t="str">
            <v>PR</v>
          </cell>
          <cell r="H3" t="str">
            <v>Type</v>
          </cell>
          <cell r="I3" t="str">
            <v>Question</v>
          </cell>
          <cell r="J3" t="str">
            <v>Interviewer</v>
          </cell>
          <cell r="K3" t="str">
            <v>Response</v>
          </cell>
          <cell r="L3" t="str">
            <v>HINT</v>
          </cell>
          <cell r="M3" t="str">
            <v>MISSING VALUES</v>
          </cell>
          <cell r="N3" t="str">
            <v>Condition 1</v>
          </cell>
          <cell r="O3" t="str">
            <v>Condition 2</v>
          </cell>
          <cell r="P3" t="str">
            <v>Condition 3</v>
          </cell>
          <cell r="Q3" t="str">
            <v>Condition 4</v>
          </cell>
          <cell r="R3" t="str">
            <v>Validation</v>
          </cell>
          <cell r="S3" t="str">
            <v>Message</v>
          </cell>
          <cell r="T3" t="str">
            <v>Source</v>
          </cell>
          <cell r="U3" t="str">
            <v>Adjustments for following surveys</v>
          </cell>
          <cell r="V3" t="str">
            <v>Internal Comment</v>
          </cell>
          <cell r="W3" t="str">
            <v>Status SSD</v>
          </cell>
        </row>
        <row r="4">
          <cell r="E4" t="str">
            <v>HH_date</v>
          </cell>
          <cell r="F4" t="str">
            <v>HH_00a</v>
          </cell>
          <cell r="G4">
            <v>1</v>
          </cell>
          <cell r="H4" t="str">
            <v>OI</v>
          </cell>
          <cell r="I4" t="str">
            <v>First, could you tell me when you arrived in [host country]?  Tell me the year and the month.</v>
          </cell>
          <cell r="K4" t="str">
            <v xml:space="preserve">Years: 
Months:
98. Don’t know  for months
9998 don’t know for years
</v>
          </cell>
          <cell r="L4" t="str">
            <v xml:space="preserve">CHANGE THE HINT: 
If the year is unknown enter 9998
If the month is unknown enter 98
</v>
          </cell>
          <cell r="M4" t="str">
            <v>RECODE MISSING VALUES
'Don't know' for years should be 9998
'Don't know' for months should be 98</v>
          </cell>
          <cell r="N4" t="str">
            <v>Range</v>
          </cell>
          <cell r="O4" t="str">
            <v>Range</v>
          </cell>
          <cell r="R4" t="str">
            <v>Condition 1.
"Year" (should be &gt;= 1900 &amp; =&lt;2025) OR (be=9998)
Condition 2.
"Month" (should be &gt;= 1 &amp; =&lt; 12) OR (be=98)</v>
          </cell>
          <cell r="S4" t="str">
            <v>Condition 1.
INVALID YEAR. PLEASE CHECK
Condition 2.
INVALID MONTH. PLEASE CHECK</v>
          </cell>
          <cell r="T4" t="str">
            <v>LSMS 2015 (s1_firstmove)
LSMS 2015 (adapted from s1_firstmove)</v>
          </cell>
          <cell r="U4" t="str">
            <v>Adapt year "2023" to year where survey is applied</v>
          </cell>
          <cell r="W4" t="str">
            <v>Done</v>
          </cell>
        </row>
        <row r="5">
          <cell r="E5" t="str">
            <v>HH_time</v>
          </cell>
          <cell r="F5" t="str">
            <v>HH_00b</v>
          </cell>
          <cell r="G5">
            <v>1</v>
          </cell>
          <cell r="H5" t="str">
            <v>OI</v>
          </cell>
          <cell r="I5" t="str">
            <v>Could you tell me for approximately how long you have been living in [host country]?  Tell me in terms of years and months.</v>
          </cell>
          <cell r="J5" t="str">
            <v xml:space="preserve">If less than 1 year, write ‘0’ for the number of years and indicate the number of months. If less than 1 month, write ‘0’ for the number of months. </v>
          </cell>
          <cell r="K5" t="str">
            <v xml:space="preserve">Years: 
Months:  
Add don’t know 98 for months
Add don’t know 9998 for months
</v>
          </cell>
          <cell r="L5" t="str">
            <v>ADD HINT: 
If Years is unknown enter 998
If Month is unknown enter 98</v>
          </cell>
          <cell r="M5" t="str">
            <v>ADD MISSING VALUES
'Don't know' for years should be 998
'Don't know' for months should be 98</v>
          </cell>
          <cell r="N5" t="str">
            <v>Range</v>
          </cell>
          <cell r="O5" t="str">
            <v>Range</v>
          </cell>
          <cell r="R5" t="str">
            <v>Condition 1.
"Years" (should (be &gt;= 0 &amp; =&lt; 110) OR (be=998)
Condition 2.
"Months" (should be &gt;= 0 &amp; =&lt; 11) OR (be=98)</v>
          </cell>
          <cell r="S5" t="str">
            <v>Condition 1.
NUMBER OF YEARS SEEMS TOO HIGH. PLEASE CHECK 
Condition 2.
NUMBER OF MONTHS SHOULD BE BETWEEN 0 AND 11</v>
          </cell>
          <cell r="T5" t="str">
            <v xml:space="preserve">
LSMS 2015 (s1_hmthawy)</v>
          </cell>
          <cell r="V5" t="str">
            <v xml:space="preserve">LSMS 2015 asks for exact year of 1st move to HC. Assuming it should be between 1900 and 2015. I am considering 110 as a limit since it was used by LSMS 2015 for age in simple years. </v>
          </cell>
          <cell r="W5" t="str">
            <v>Done</v>
          </cell>
        </row>
        <row r="6">
          <cell r="E6" t="str">
            <v>HH_rel</v>
          </cell>
          <cell r="F6" t="str">
            <v>HH_03</v>
          </cell>
          <cell r="G6">
            <v>1</v>
          </cell>
          <cell r="H6" t="str">
            <v>SS</v>
          </cell>
          <cell r="I6" t="str">
            <v>What is [NAME]'s relationship to [you/the household head’s name]?</v>
          </cell>
          <cell r="J6" t="str">
            <v>For the respondent, don’t ask this question, record directly.</v>
          </cell>
          <cell r="K6" t="str">
            <v xml:space="preserve">1. The household head himself/herself
2. Wife/Husband/Partner     
3. Biological child 
4. Step child/ Adopted child 
5. Grandchild
6. Niece/Nephew  
7. Mother/Father 
8. Sister/Brother 
9. Son/Daughter-in-law 
10. Brother/Sister-in-law 
11.Grandfather/mother 
12. Father/Mother-in-law 
13. Uncle/Aunt 
14. Cousin 
15. Travel companion/friend 
16. Servant or servant’s relative 
17. Lodger or lodger’s relative 
96. Other: specify </v>
          </cell>
          <cell r="N6" t="str">
            <v>Head of Household</v>
          </cell>
          <cell r="O6" t="str">
            <v>Head of household</v>
          </cell>
          <cell r="R6" t="str">
            <v>Conditoin 1.
There has to be at least one head of household 
Condition 2.
And maximum one head per household</v>
          </cell>
          <cell r="S6" t="str">
            <v>Condition 1 &amp; Condition 2.
THERE MUST BE ONLY ONE PERSON DESIGNATED AS HEAD OF HOUSEHOLD. PLEASE CHECK</v>
          </cell>
          <cell r="T6" t="str">
            <v>lsms 2015 and BISP 2018 (message adapted)</v>
          </cell>
          <cell r="W6" t="str">
            <v xml:space="preserve">Not possible at the moment </v>
          </cell>
        </row>
        <row r="7">
          <cell r="E7" t="str">
            <v>HH_age</v>
          </cell>
          <cell r="F7" t="str">
            <v>HH_04</v>
          </cell>
          <cell r="G7">
            <v>1</v>
          </cell>
          <cell r="H7" t="str">
            <v>OI</v>
          </cell>
          <cell r="I7" t="str">
            <v>How old [are you/is NAME]? Please give the age in completed years.</v>
          </cell>
          <cell r="K7" t="str">
            <v>Age:   
988. Don’t know
Typo, should be 998 ant not 988</v>
          </cell>
          <cell r="L7" t="str">
            <v>CHANGE THE HINT: 
If Age unknown enter 998</v>
          </cell>
          <cell r="M7" t="str">
            <v>RECODE MISSING VALUES
Typo: For Don’t know, it should say 998 and not 988</v>
          </cell>
          <cell r="N7" t="str">
            <v>Range</v>
          </cell>
          <cell r="R7" t="str">
            <v>Condition 1.
Age should (be &gt;= 0 &amp; =&lt; 110) OR (be "998")</v>
          </cell>
          <cell r="S7" t="str">
            <v>PLEASE ENTER A VALID AGE TO CONTINUE</v>
          </cell>
          <cell r="T7" t="str">
            <v>LSMS Adj for validation
UGANDA- Imane (for message)</v>
          </cell>
          <cell r="W7" t="str">
            <v>Done</v>
          </cell>
        </row>
        <row r="8">
          <cell r="E8" t="str">
            <v>HH_birth</v>
          </cell>
          <cell r="F8" t="str">
            <v>HH_05</v>
          </cell>
          <cell r="G8">
            <v>1</v>
          </cell>
          <cell r="H8" t="str">
            <v>OI</v>
          </cell>
          <cell r="I8" t="str">
            <v xml:space="preserve">In what year and month [were you/was NAME] born? </v>
          </cell>
          <cell r="J8" t="str">
            <v>If month and/or year is not known, record 98. It is fine to have only the year and ‘98’ for the month if the respondent doesn’t have precise information or doesn’t remember.</v>
          </cell>
          <cell r="K8" t="str">
            <v>Year: 
Month:  
98. Don’t know for months
9998 don’t know for years</v>
          </cell>
          <cell r="L8" t="str">
            <v xml:space="preserve">CHANGE THE HINT: 
If the year is unknown enter 9998
If the month is unknown enter 98
</v>
          </cell>
          <cell r="M8" t="str">
            <v>RECODE MISSING VALUES
'Don't know' for years should be 9998
'Don't know' for months should be 98</v>
          </cell>
          <cell r="N8" t="str">
            <v>Range</v>
          </cell>
          <cell r="O8" t="str">
            <v>Range</v>
          </cell>
          <cell r="R8" t="str">
            <v>Condition 1.
"Year" (should be &gt;= 1900 &amp; =&lt; 2026) OR (be=9998)
Condition 2.
"Month" (should be &gt;= 1 &amp; =&lt; 12) OR (be=98)</v>
          </cell>
          <cell r="S8" t="str">
            <v>Condition 1.
INVALID YEAR. PLEASE CHECK
Condition 2.
INVALID MONTH. PLEASE CHECK</v>
          </cell>
          <cell r="T8" t="str">
            <v>Condition 1.
LSMS 2015 (adapted from s1_firstmove)
Condition 2.
LSMS 2015 (adapted from s1_firstmove)</v>
          </cell>
          <cell r="U8" t="str">
            <v>Adapt year "2023" to year where survey is applied</v>
          </cell>
          <cell r="W8" t="str">
            <v>Done</v>
          </cell>
        </row>
        <row r="9">
          <cell r="E9" t="str">
            <v>HH_age_mar</v>
          </cell>
          <cell r="F9" t="str">
            <v>HH_09</v>
          </cell>
          <cell r="G9">
            <v>1</v>
          </cell>
          <cell r="H9" t="str">
            <v>OI</v>
          </cell>
          <cell r="I9" t="str">
            <v xml:space="preserve">How old [were you/was NAME] when first married or formed a non-formal union? </v>
          </cell>
          <cell r="K9" t="str">
            <v>Age:   
98. Don’t know</v>
          </cell>
          <cell r="L9" t="str">
            <v>check THE HINT: 
If Age unknown enter 98</v>
          </cell>
          <cell r="M9" t="str">
            <v>CHECK MISSING VALUES
"Don’t know"should be 98</v>
          </cell>
          <cell r="N9" t="str">
            <v>Range</v>
          </cell>
          <cell r="R9" t="str">
            <v>Condition 1.
Age (should be &gt; =10 &amp; =&lt;90) OR (be = 98)</v>
          </cell>
          <cell r="S9" t="str">
            <v>Condition 1.
[NAME] SEEMS TOO YOUNG TO BE MARRIED. PLEASE CHECK</v>
          </cell>
          <cell r="T9" t="str">
            <v xml:space="preserve">
BISP 2018 ADJUSTED  </v>
          </cell>
          <cell r="V9" t="str">
            <v xml:space="preserve">Im following age reference from hh_civil to define 10 as inferior limit of range. </v>
          </cell>
          <cell r="W9" t="str">
            <v>Done</v>
          </cell>
        </row>
        <row r="10">
          <cell r="E10" t="str">
            <v>HH_absence</v>
          </cell>
          <cell r="F10" t="str">
            <v>HH_11a</v>
          </cell>
          <cell r="G10">
            <v>1</v>
          </cell>
          <cell r="H10" t="str">
            <v>OI</v>
          </cell>
          <cell r="I10" t="str">
            <v>For how many months [during the past 12 months/ since you/NAME arrived in (host country)] [have you/has NAME] been away from this household?</v>
          </cell>
          <cell r="J10" t="str">
            <v xml:space="preserve">If the respondent is answering in terms of number of days, then sum the days in months.  Record total months  If less than 1 month, write ‘0’. </v>
          </cell>
          <cell r="K10" t="str">
            <v xml:space="preserve">Nb of months: </v>
          </cell>
          <cell r="N10" t="str">
            <v>Range</v>
          </cell>
          <cell r="R10" t="str">
            <v xml:space="preserve">Condition 1.
Months (should be &gt;= 0 &amp; =&lt; 12) </v>
          </cell>
          <cell r="S10" t="str">
            <v>INVALID NUMBER OF MONTHS. PLEASE CHECK</v>
          </cell>
          <cell r="T10" t="str">
            <v>LSMS 2015 for validation. Message is different than theirs</v>
          </cell>
          <cell r="V10" t="str">
            <v>NOT PENDANT ANYMORE</v>
          </cell>
          <cell r="W10" t="str">
            <v>Done</v>
          </cell>
        </row>
        <row r="11">
          <cell r="E11" t="str">
            <v>HH_cit</v>
          </cell>
          <cell r="F11" t="str">
            <v>HH_14</v>
          </cell>
          <cell r="G11">
            <v>1</v>
          </cell>
          <cell r="H11" t="str">
            <v>MS</v>
          </cell>
          <cell r="I11" t="str">
            <v>Of which country/countries [are you/is NAME] a citizen?</v>
          </cell>
          <cell r="J11" t="str">
            <v>We're missing an indication "Select all that apply"</v>
          </cell>
          <cell r="K11" t="str">
            <v>1. [host country] 
2. country of origin: specify 
3. other country, different than country of origin: specify 
4. stateless 
98. Don’t know 
99. Refuse to answer 
Codes should be in letters</v>
          </cell>
          <cell r="N11" t="str">
            <v>MS 
(If DK or RF are selected)</v>
          </cell>
          <cell r="R11" t="str">
            <v>Condition 1.
If 98 or 99 are selected, no other response should be selected at the same time.</v>
          </cell>
          <cell r="S11" t="str">
            <v>Conditon 1.
THE COMBINATION OF ANSWERS YOU HAVE CHOSEN IS NOT POSSIBLE. PLEASE CHECK</v>
          </cell>
          <cell r="T11" t="str">
            <v>Condition 1.
LSMS 2015 (Both for validation and message)</v>
          </cell>
          <cell r="W11" t="str">
            <v>NA</v>
          </cell>
        </row>
        <row r="12">
          <cell r="E12" t="str">
            <v>Educ_dec</v>
          </cell>
          <cell r="F12" t="str">
            <v>HH_Educ05</v>
          </cell>
          <cell r="G12">
            <v>3</v>
          </cell>
          <cell r="H12" t="str">
            <v>OI</v>
          </cell>
          <cell r="I12" t="str">
            <v>Please tell me who decides whether [you go/name goes] to school?</v>
          </cell>
          <cell r="J12" t="str">
            <v xml:space="preserve">Indicate the ID code of the household member(s) who decides/decide. Select all that apply. 
If the decision is taken by a non-member, indicate’00’. </v>
          </cell>
          <cell r="K12" t="str">
            <v>ID Codes from the household roster:    </v>
          </cell>
          <cell r="N12" t="str">
            <v>INTER-QUESTION 
within same module</v>
          </cell>
          <cell r="R12" t="str">
            <v xml:space="preserve">Condition 1.
Person who decides should be &gt;= 10 years old </v>
          </cell>
          <cell r="S12" t="str">
            <v>Condition 1.
PERSON WHO DECIDES SEEMS TOO YOUNG. PLEASE CHECK</v>
          </cell>
          <cell r="T12" t="str">
            <v>New</v>
          </cell>
          <cell r="W12" t="str">
            <v xml:space="preserve">Not possible at the moment </v>
          </cell>
        </row>
        <row r="13">
          <cell r="E13" t="str">
            <v>Educ_stype2</v>
          </cell>
          <cell r="F13" t="str">
            <v>HH_Educ08a</v>
          </cell>
          <cell r="G13">
            <v>1</v>
          </cell>
          <cell r="H13" t="str">
            <v>MS</v>
          </cell>
          <cell r="I13" t="str">
            <v>What type of school did [you/name] attend?</v>
          </cell>
          <cell r="J13" t="str">
            <v>Mark all that apply</v>
          </cell>
          <cell r="K13" t="str">
            <v>A. Government or Public 
B. UN or NGO 
C. Religious or faith-based organization 
D. Community 
E. Private 
OT. Other: specify 
DK. Don’t know</v>
          </cell>
          <cell r="N13" t="str">
            <v>MS 
(If DK or RF are selected)</v>
          </cell>
          <cell r="R13" t="str">
            <v xml:space="preserve">Condition 1.
If "DK" is selected, then no other response should be selected at the same time
</v>
          </cell>
          <cell r="S13" t="str">
            <v xml:space="preserve">Conditon 1.
THE COMBINATION OF ANSWERS YOU HAVE CHOSEN IS NOT POSSIBLE. PLEASE CHECK
</v>
          </cell>
          <cell r="T13" t="str">
            <v xml:space="preserve">Condition 1.
LSMS 2015 (Both for validation and message)
</v>
          </cell>
          <cell r="W13" t="str">
            <v>Done</v>
          </cell>
        </row>
        <row r="14">
          <cell r="E14" t="str">
            <v>Educ_start_age</v>
          </cell>
          <cell r="F14" t="str">
            <v>HH_Educ10</v>
          </cell>
          <cell r="G14">
            <v>2</v>
          </cell>
          <cell r="H14" t="str">
            <v>OI</v>
          </cell>
          <cell r="I14" t="str">
            <v xml:space="preserve">At what age did [you/name] start to go to school? 
Please refer to only Formal School Education, which includes any organized form of teaching that is officially recognized.   
Do not include kindergarten  or preschool </v>
          </cell>
          <cell r="K14" t="str">
            <v xml:space="preserve">Age: 
Don’t Know 98
</v>
          </cell>
          <cell r="L14" t="str">
            <v>ADD HINT: 
If Age unknown enter 98</v>
          </cell>
          <cell r="M14" t="str">
            <v>ADD MISSING VALUES
"Don’t know"should be 98</v>
          </cell>
          <cell r="N14" t="str">
            <v>Range</v>
          </cell>
          <cell r="R14" t="str">
            <v>Condition 1.
Age (should be  &gt;=4 &amp; =&lt; 90) OR (be=98)</v>
          </cell>
          <cell r="S14" t="str">
            <v>Condition 1.
AGE SEEMS TOO LOW/HIGH. PLESE CHECK</v>
          </cell>
          <cell r="T14" t="str">
            <v>New</v>
          </cell>
          <cell r="V14" t="str">
            <v>NOT PENDANT ANYMORE
According to World Bank,  official age range is from 5 to 7. https://data.worldbank.org/indicator/SE.PRM.AGES
I consider a wider range, to allow cases where children start a year before official age, or a few years later, considering lack of access among PwS</v>
          </cell>
          <cell r="W14" t="str">
            <v>Done</v>
          </cell>
        </row>
        <row r="15">
          <cell r="E15" t="str">
            <v>Educ_cotherw</v>
          </cell>
          <cell r="F15" t="str">
            <v>HH_Educ12</v>
          </cell>
          <cell r="G15">
            <v>3</v>
          </cell>
          <cell r="H15" t="str">
            <v>MS</v>
          </cell>
          <cell r="I15" t="str">
            <v xml:space="preserve">In which country/countries, other than [host country],   [have you/has name] attended school?   </v>
          </cell>
          <cell r="J15" t="str">
            <v>Mark all that apply</v>
          </cell>
          <cell r="K15" t="str">
            <v>A.In [country of origin]   
B.In another country different than [country of origin]: specify   
98. Don’t know   
99. Refuse to answer
Change code 98 to DK and  code 99 to RF</v>
          </cell>
          <cell r="N15" t="str">
            <v>MS 
(If DK or RF are selected)</v>
          </cell>
          <cell r="R15" t="str">
            <v xml:space="preserve">Condition 1.
If 98 OR 99 are selected, then no other response should be selected at the same time
</v>
          </cell>
          <cell r="S15" t="str">
            <v>Conditon 1.
THE COMBINATION OF ANSWERS YOU HAVE CHOSEN IS NOT POSSIBLE. PLEASE CHECK</v>
          </cell>
          <cell r="T15" t="str">
            <v xml:space="preserve">Condition 1.
LSMS 2015 (Both for validation and message)
</v>
          </cell>
          <cell r="W15" t="str">
            <v>Done</v>
          </cell>
        </row>
        <row r="16">
          <cell r="E16" t="str">
            <v>Educ_where</v>
          </cell>
          <cell r="F16" t="str">
            <v>HH_Educ13</v>
          </cell>
          <cell r="G16">
            <v>2</v>
          </cell>
          <cell r="H16" t="str">
            <v>MS</v>
          </cell>
          <cell r="I16" t="str">
            <v xml:space="preserve">In which country did [you/name] go to school? In [country of origin], [host country], or some other country?   </v>
          </cell>
          <cell r="J16" t="str">
            <v>Mark all that apply</v>
          </cell>
          <cell r="K16" t="str">
            <v>A.In [host country]   
B.In [country of origin]   
C.In another country different than [country of origin]: specify   
98. Don’t know   
99. Refuse to answer
Change code 98 to DK and  code 99 to RF</v>
          </cell>
          <cell r="N16" t="str">
            <v>MS 
(If DK or RF are selected)</v>
          </cell>
          <cell r="R16" t="str">
            <v>Condition 1.
If 98 OR 99 are selected, then no other response should be selected at the same time
Condition 2.
If neither 98 NOR 99 are selected, number of selected responses should be &gt;=1 &amp; =&lt; 3</v>
          </cell>
          <cell r="S16" t="str">
            <v>Conditon 1.
THE COMBINATION OF ANSWERS YOU HAVE CHOSEN IS NOT POSSIBLE. PLEASE CHECK
Condition 2.
INVALID COMBINATION OF ANSWERS.</v>
          </cell>
          <cell r="T16" t="str">
            <v xml:space="preserve">Condition 1.
LSMS 2015 (Both for validation and message)
</v>
          </cell>
          <cell r="W16" t="str">
            <v>Done</v>
          </cell>
        </row>
        <row r="17">
          <cell r="E17" t="str">
            <v>Educ_year_c</v>
          </cell>
          <cell r="F17" t="str">
            <v>HH_Educ18</v>
          </cell>
          <cell r="G17">
            <v>1</v>
          </cell>
          <cell r="H17" t="str">
            <v>SS</v>
          </cell>
          <cell r="I17" t="str">
            <v xml:space="preserve">What is the highest [grade / year] of formal education that [you have/name has] completed?   </v>
          </cell>
          <cell r="K17" t="str">
            <v>List of all possible grades – The list must be adapted to the national education system of the country where the household member completed her/his highest level of formal education.</v>
          </cell>
          <cell r="N17" t="str">
            <v>INTER-QUESTION 
within same module</v>
          </cell>
          <cell r="R17" t="str">
            <v xml:space="preserve">Condition 1.
A person can't be younger than 15 years old and have a complete or incomplete terciary education </v>
          </cell>
          <cell r="S17" t="str">
            <v>Condition 1.
A PERSON YOUNGER THAN 15 CAN NOT HAVE COMPLETED A YEAR OR MORE OF TERCIARY EDUCATION. PLEASE CHECK</v>
          </cell>
          <cell r="T17" t="str">
            <v>lsms 2015 adjusted</v>
          </cell>
          <cell r="U17" t="str">
            <v>country-tailored</v>
          </cell>
          <cell r="V17" t="str">
            <v>lsms considers 18 as the age limit. This limit has been lowered to allow cases of individuals who finished formal education at 15</v>
          </cell>
          <cell r="W17" t="str">
            <v xml:space="preserve">Not possible at the moment </v>
          </cell>
        </row>
        <row r="18">
          <cell r="E18" t="str">
            <v>Educ_FS_Who</v>
          </cell>
          <cell r="F18" t="str">
            <v>HH_Educ20</v>
          </cell>
          <cell r="G18">
            <v>2</v>
          </cell>
          <cell r="H18" t="str">
            <v>MS</v>
          </cell>
          <cell r="I18" t="str">
            <v xml:space="preserve">Who provided the tuition support?      </v>
          </cell>
          <cell r="J18" t="str">
            <v xml:space="preserve">Record all mentioned.   </v>
          </cell>
          <cell r="K18" t="str">
            <v>A. Government/ Public   
B. Religious/ Faith Org. 
C. Private.  
96. Other: specify   
98. Don’t know
Change code 96 to OT and code 98 to DK</v>
          </cell>
          <cell r="N18" t="str">
            <v>MS 
(If DK or RF are selected)</v>
          </cell>
          <cell r="R18" t="str">
            <v>Condition 1.
If 98 is selected, no other response should be selected at the same time.</v>
          </cell>
          <cell r="S18" t="str">
            <v>Conditon 1.
THE COMBINATION OF ANSWERS YOU HAVE CHOSEN IS NOT POSSIBLE. PLEASE CHECK</v>
          </cell>
          <cell r="T18" t="str">
            <v>Condition 1.
LSMS 2015 (Both for validation and message)</v>
          </cell>
          <cell r="W18" t="str">
            <v>Done</v>
          </cell>
        </row>
        <row r="19">
          <cell r="E19" t="str">
            <v>GiveBirth_nb</v>
          </cell>
          <cell r="F19" t="str">
            <v>HH_28</v>
          </cell>
          <cell r="G19">
            <v>1</v>
          </cell>
          <cell r="H19" t="str">
            <v>OI</v>
          </cell>
          <cell r="I19" t="str">
            <v>To how many children born alive did [you/NAME] give birth in the past 2 years?</v>
          </cell>
          <cell r="K19" t="str">
            <v>Nb of children:
ADD A REFUSE 99</v>
          </cell>
          <cell r="N19" t="str">
            <v>Range</v>
          </cell>
          <cell r="R19" t="str">
            <v>Condition 1.
Number should (be &gt; 0 &amp; =&lt;5) or (BE=99)</v>
          </cell>
          <cell r="S19" t="str">
            <v>Condition 1.
NUMBER OF BIRTHS SEEMS TOO LOW/HIGH. PLEASE CHECK.</v>
          </cell>
          <cell r="T19" t="str">
            <v>New</v>
          </cell>
          <cell r="U19" t="str">
            <v>Range considers the posibility of multiple births</v>
          </cell>
          <cell r="V19" t="str">
            <v>NOT PENDANT ANYMORE</v>
          </cell>
          <cell r="W19" t="str">
            <v>Done</v>
          </cell>
        </row>
        <row r="20">
          <cell r="E20" t="str">
            <v>Bank_all_b</v>
          </cell>
          <cell r="F20" t="str">
            <v>HH_31b</v>
          </cell>
          <cell r="G20">
            <v>1</v>
          </cell>
          <cell r="H20" t="str">
            <v>OI</v>
          </cell>
          <cell r="I20" t="str">
            <v>Please tell me the names of all household members  older than 15 who currently have an account at a bank or another type of formal financial institution in [host country]?</v>
          </cell>
          <cell r="K20" t="str">
            <v>ID codes:</v>
          </cell>
          <cell r="N20" t="str">
            <v>INTER-QUESTION 
within same module</v>
          </cell>
          <cell r="R20" t="str">
            <v>Condition 1.
[NAME]'s age should be &gt; 15</v>
          </cell>
          <cell r="S20" t="str">
            <v>Condition 1.
[NAME] SEEMS TOO YOUNG TO HAVE A BANK ACCOUNT. PLEASE CHECK</v>
          </cell>
          <cell r="T20" t="str">
            <v xml:space="preserve">New </v>
          </cell>
          <cell r="W20" t="str">
            <v xml:space="preserve">Not possible at the moment </v>
          </cell>
        </row>
        <row r="21">
          <cell r="E21" t="str">
            <v>Bank_all_d</v>
          </cell>
          <cell r="F21" t="str">
            <v>HH_31d</v>
          </cell>
          <cell r="G21">
            <v>1</v>
          </cell>
          <cell r="H21" t="str">
            <v>OI</v>
          </cell>
          <cell r="I21" t="str">
            <v xml:space="preserve">Please tell me the names of all household members  older than 15 who currently have a/an [insert local terminology for ATM/debit card] in [host country]. </v>
          </cell>
          <cell r="K21" t="str">
            <v>ID codes:</v>
          </cell>
          <cell r="N21" t="str">
            <v>INTER-QUESTION 
within same module</v>
          </cell>
          <cell r="R21" t="str">
            <v xml:space="preserve">Condition 1.
[NAME]'s age should be &gt; 15 </v>
          </cell>
          <cell r="S21" t="str">
            <v>Condition 1.
[NAME] SEEMS TOO YOUNG TO HAVE A [LOCAL TERMINOLOGY FOR ATM/DEBET CARD]. PLEASE CHECK</v>
          </cell>
          <cell r="T21" t="str">
            <v xml:space="preserve">New </v>
          </cell>
          <cell r="W21" t="str">
            <v xml:space="preserve">Not possible at the moment </v>
          </cell>
        </row>
        <row r="22">
          <cell r="F22" t="str">
            <v>Dis_02</v>
          </cell>
          <cell r="N22" t="str">
            <v>INTER-QUESTION between modules</v>
          </cell>
          <cell r="R22" t="str">
            <v>Condition 1.
[NAME]'s age should be &gt; 5</v>
          </cell>
          <cell r="S22" t="str">
            <v>Condition 1.
[NAME] SEEMS TOO YOUNG. PLEASE CONSIDER ONLY MEMBERS OLDER THAN 5.</v>
          </cell>
        </row>
        <row r="23">
          <cell r="F23" t="str">
            <v>Dis_05</v>
          </cell>
          <cell r="N23" t="str">
            <v>INTER-QUESTION between modules</v>
          </cell>
          <cell r="R23" t="str">
            <v>Condition 1.
[NAME]'s age should be &gt; 5</v>
          </cell>
          <cell r="S23" t="str">
            <v>Condition 1.
[NAME] SEEMS TOO YOUNG. PLEASE CONSIDER ONLY MEMBERS OLDER THAN 5.</v>
          </cell>
        </row>
        <row r="24">
          <cell r="F24" t="str">
            <v>Dis_08</v>
          </cell>
          <cell r="N24" t="str">
            <v>INTER-QUESTION between modules</v>
          </cell>
          <cell r="R24" t="str">
            <v>Condition 1.
[NAME]'s age should be &gt; 5</v>
          </cell>
          <cell r="S24" t="str">
            <v>Condition 1.
[NAME] SEEMS TOO YOUNG. PLEASE CONSIDER ONLY MEMBERS OLDER THAN 5.</v>
          </cell>
        </row>
        <row r="25">
          <cell r="F25" t="str">
            <v>Dis_11</v>
          </cell>
          <cell r="N25" t="str">
            <v>INTER-QUESTION between modules</v>
          </cell>
          <cell r="R25" t="str">
            <v>Condition 1.
[NAME]'s age should be &gt; 5</v>
          </cell>
          <cell r="S25" t="str">
            <v>Condition 1.
[NAME] SEEMS TOO YOUNG. PLEASE CONSIDER ONLY MEMBERS OLDER THAN 5.</v>
          </cell>
        </row>
        <row r="26">
          <cell r="F26" t="str">
            <v>Dis_14</v>
          </cell>
          <cell r="N26" t="str">
            <v>INTER-QUESTION between modules</v>
          </cell>
          <cell r="R26" t="str">
            <v>Condition 1.
[NAME]'s age should be &gt; 5</v>
          </cell>
          <cell r="S26" t="str">
            <v>Condition 1.
[NAME] SEEMS TOO YOUNG. PLEASE CONSIDER ONLY MEMBERS OLDER THAN 5.</v>
          </cell>
        </row>
        <row r="27">
          <cell r="F27" t="str">
            <v>Dis_17</v>
          </cell>
          <cell r="N27" t="str">
            <v>INTER-QUESTION between modules</v>
          </cell>
          <cell r="R27" t="str">
            <v>Condition 1.
[NAME]'s age should be &gt; 5</v>
          </cell>
          <cell r="S27" t="str">
            <v>Condition 1.
[NAME] SEEMS TOO YOUNG. PLEASE CONSIDER ONLY MEMBERS OLDER THAN 5.</v>
          </cell>
        </row>
        <row r="28">
          <cell r="E28" t="str">
            <v xml:space="preserve">Legal_b_hh </v>
          </cell>
          <cell r="F28" t="str">
            <v>Legal_01</v>
          </cell>
          <cell r="G28">
            <v>1</v>
          </cell>
          <cell r="H28" t="str">
            <v>MS</v>
          </cell>
          <cell r="I28" t="str">
            <v xml:space="preserve">What is the legal basis of your stay in [host country]? </v>
          </cell>
          <cell r="J28" t="str">
            <v>We're missing an indication for Interviewer (Mark all that apply)</v>
          </cell>
          <cell r="K28" t="str">
            <v>Codes should be changed to letters
1. No legal basis 
2. Tourist visa  
3. Student visa  
4. Work visa  
5. Humanitarian visa 
6. Regional free movement agreement (e.g. Mercosur, EU)  
7. Permanent resident  
8. Asylum applicant  
9. Recognized refugee 
10. Recognized stateless person 
11. Complementary and subsidiary protection 
12. Temporary protection
13. Refugee background 
96. Other: specify  
98. Don’t know 
99. Prefer not to say</v>
          </cell>
          <cell r="N28" t="str">
            <v>MS 
(If DK or RF are selected)</v>
          </cell>
          <cell r="R28" t="str">
            <v xml:space="preserve">Condition 1.
If 98 OR 99 are selected, then no other response should be selected at the same time
</v>
          </cell>
          <cell r="S28" t="str">
            <v>Conditon 1.
THE COMBINATION OF ANSWERS YOU HAVE CHOSEN IS NOT POSSIBLE. PLEASE CHECK</v>
          </cell>
          <cell r="T28" t="str">
            <v xml:space="preserve">Condition 1.
LSMS 2015 (Both for validation and message)
</v>
          </cell>
        </row>
        <row r="29">
          <cell r="E29" t="str">
            <v>Legal_b_other</v>
          </cell>
          <cell r="F29" t="str">
            <v>Legal_04a</v>
          </cell>
          <cell r="G29">
            <v>1</v>
          </cell>
          <cell r="H29" t="str">
            <v>MS</v>
          </cell>
          <cell r="I29" t="str">
            <v xml:space="preserve">What is the legal status of the members of your household who have a different status than yours ?   Please mention all types of legal status present in your household. </v>
          </cell>
          <cell r="J29" t="str">
            <v>Mark all that apply</v>
          </cell>
          <cell r="K29" t="str">
            <v>Codes should be changed to letters
1. No legal basis 
2. Tourist visa  
3. Student visa  
4. Work visa  
5. Humanitarian visa 
6. Regional free movement agreement (e.g. Mercosur, EU)  
7. Permanent resident  
8. Asylum applicant  
9. Recognized refugee 
10. Recognized stateless person 
11. Complementary and subsidiary protection 
12. Temporary protection
13. Refugee background 
96. Other: specify  
98. Don’t know 
99. Prefer not to say</v>
          </cell>
          <cell r="N29" t="str">
            <v>MS 
(If DK or RF are selected)</v>
          </cell>
          <cell r="R29" t="str">
            <v>Condition 1.
If 98 OR 99 are selected, then no other response should be selected at the same time\</v>
          </cell>
          <cell r="S29" t="str">
            <v>Conditon 1.
THE COMBINATION OF ANSWERS YOU HAVE CHOSEN IS NOT POSSIBLE. PLEASE CHECK</v>
          </cell>
          <cell r="T29" t="str">
            <v xml:space="preserve">Condition 1.
LSMS 2015 (Both for validation and message)
</v>
          </cell>
        </row>
        <row r="30">
          <cell r="E30" t="str">
            <v>Legal_b_asyl</v>
          </cell>
          <cell r="F30" t="str">
            <v>Legal_04b</v>
          </cell>
          <cell r="G30">
            <v>1</v>
          </cell>
          <cell r="H30" t="str">
            <v>OI</v>
          </cell>
          <cell r="I30" t="str">
            <v>Please tell me the names of all household members who are asylum applicant.</v>
          </cell>
          <cell r="K30" t="str">
            <v>ID codes:</v>
          </cell>
          <cell r="V30" t="str">
            <v>I am assuming that a person can have more than one bases of legal status in [host country]. Therefore I am not adding a validation here ("this values should be different than Legal_b_ID")
Ask Imane and Andrej</v>
          </cell>
          <cell r="W30" t="str">
            <v>NA</v>
          </cell>
        </row>
        <row r="31">
          <cell r="E31" t="str">
            <v>Legal_b_ref</v>
          </cell>
          <cell r="F31" t="str">
            <v>Legal_04c</v>
          </cell>
          <cell r="G31">
            <v>1</v>
          </cell>
          <cell r="H31" t="str">
            <v>OI</v>
          </cell>
          <cell r="I31" t="str">
            <v>Please tell me the names of all household members who are recognized refugees.</v>
          </cell>
          <cell r="K31" t="str">
            <v>ID codes:</v>
          </cell>
          <cell r="R31" t="str">
            <v>Id codes should be different than in  legal_b_asyl</v>
          </cell>
          <cell r="S31" t="str">
            <v>YOU SAID "NAME" IS AN ASYLUM APPLICANT. PLEASE CHECK</v>
          </cell>
          <cell r="T31" t="str">
            <v>New</v>
          </cell>
          <cell r="V31" t="str">
            <v>Ask Imane. 'Asylum applicant' and 'recognized refugee' are excluding categores?\</v>
          </cell>
          <cell r="W31" t="str">
            <v>NA</v>
          </cell>
        </row>
        <row r="32">
          <cell r="E32" t="str">
            <v>Reg_hh_why</v>
          </cell>
          <cell r="F32" t="str">
            <v>Legal_07</v>
          </cell>
          <cell r="G32">
            <v>1</v>
          </cell>
          <cell r="H32" t="str">
            <v>MS</v>
          </cell>
          <cell r="I32" t="str">
            <v xml:space="preserve">What are the main reasons why you are not registered?  Please give us up to 3 reasons. </v>
          </cell>
          <cell r="J32" t="str">
            <v xml:space="preserve">Record up to 3 reasons. </v>
          </cell>
          <cell r="K32" t="str">
            <v>A. Unaware of the process 
B. Cost, distance or difficulty of reaching the registration centres 
C. Do not trust data will be kept confidential 
D. See no benefit in registration 
E. Not eligible 
F. Registration expired 
G. Tried to register but never receive d documents 
H. Fear of deportation 
OT. Other: specify 
DK. Don’t know 
RF. Refuse to answer</v>
          </cell>
          <cell r="N32" t="str">
            <v>MS 
(If DK or RF are selected)</v>
          </cell>
          <cell r="O32" t="str">
            <v>MS 
(up to 3 responses)</v>
          </cell>
          <cell r="R32" t="str">
            <v>Condition 1.
If "DK" OR "RF" are selected, then no other response should be selected at the same time
Condition 2.
If neither "DK" NOR "RF" are selected, number of selected responses should be &gt;=1 &amp; =&lt; 3</v>
          </cell>
          <cell r="S32" t="str">
            <v>Conditon 1.
THE COMBINATION OF ANSWERS YOU HAVE CHOSEN IS NOT POSSIBLE. PLEASE CHECK
Condition 2.
YOU CAN ONLY SELECT UP TO 3 RESPONSES. PLEASE CHECK</v>
          </cell>
          <cell r="T32" t="str">
            <v>Condition 1.
LSMS 2015 (Both for validation and message)
Condition 2.
New</v>
          </cell>
          <cell r="W32" t="str">
            <v>Done</v>
          </cell>
        </row>
        <row r="33">
          <cell r="E33" t="str">
            <v>Reg_all_whom</v>
          </cell>
          <cell r="F33" t="str">
            <v>Legal_08c</v>
          </cell>
          <cell r="G33">
            <v>1</v>
          </cell>
          <cell r="H33" t="str">
            <v>MS
Don’t think this is a MS question, but SS</v>
          </cell>
          <cell r="I33" t="str">
            <v>With whom are these household members  registered? The UNHCR, the  [host country] government or both. </v>
          </cell>
          <cell r="K33" t="str">
            <v>A. the UNHCR 
B. the [host country] government 
C. both 
DK. Don’t know 
RF. Refuse to answer</v>
          </cell>
          <cell r="R33" t="str">
            <v>No validation needed</v>
          </cell>
          <cell r="W33" t="str">
            <v>Done</v>
          </cell>
        </row>
        <row r="34">
          <cell r="E34" t="str">
            <v>Reg_all_why</v>
          </cell>
          <cell r="F34" t="str">
            <v>Legal_09</v>
          </cell>
          <cell r="G34">
            <v>1</v>
          </cell>
          <cell r="H34" t="str">
            <v>MS</v>
          </cell>
          <cell r="I34" t="str">
            <v xml:space="preserve">What are the main reasons why [some of/all] your household members are not registered?  Please give us up to 3 reasons. </v>
          </cell>
          <cell r="J34" t="str">
            <v>Record up to 3 reasons.</v>
          </cell>
          <cell r="K34" t="str">
            <v>A. Unaware of the process 
B. Cost, distance or difficulty of reaching the registration centres 
C. Do not trust data will be kept confidential 
D. See no benefit in registration 
E. Not eligible 
F. Registration expired 
G. Tried to register but never received documents 
H. Fear of deportation 
OT. Other: specify 
DK. Don’t know 
RF. Refuse to answer</v>
          </cell>
          <cell r="N34" t="str">
            <v>MS 
(If DK or RF are selected)</v>
          </cell>
          <cell r="O34" t="str">
            <v>MS 
(up to 3 responses)</v>
          </cell>
          <cell r="R34" t="str">
            <v>Condition 1.
If "DK" OR "RF" are selected, then no other response should be selected at the same time
Condition 2.
If neither "DK" NOR "RF" are selected, number of selected responses should be &gt;=1 &amp; =&lt; 3</v>
          </cell>
          <cell r="S34" t="str">
            <v>Conditon 1.
THE COMBINATION OF ANSWERS YOU HAVE CHOSEN IS NOT POSSIBLE. PLEASE CHECK
Condition 2.
YOU CAN ONLY SELECT UP TO 3 RESPONSES. PLEASE CHECK</v>
          </cell>
          <cell r="T34" t="str">
            <v>Condition 1.
LSMS 2015 (Both for validation and message)
Condition 2.
New</v>
          </cell>
          <cell r="W34" t="str">
            <v>Done</v>
          </cell>
        </row>
        <row r="35">
          <cell r="E35" t="str">
            <v>Host_when</v>
          </cell>
          <cell r="F35" t="str">
            <v>DH_01</v>
          </cell>
          <cell r="G35">
            <v>1</v>
          </cell>
          <cell r="H35" t="str">
            <v>OI</v>
          </cell>
          <cell r="I35" t="str">
            <v xml:space="preserve">When did you arrive in [host country] for the first time?  
Please give the year and the month.     </v>
          </cell>
          <cell r="K35" t="str">
            <v>Year:  
98. Don’t know
Month:    
98. Don’t know
Change 98 to 9998 in 'Year"</v>
          </cell>
          <cell r="L35" t="str">
            <v xml:space="preserve">CHANGE THE HINT: 
If the year is unknown enter 9998
If the month is unknown enter 98
</v>
          </cell>
          <cell r="M35" t="str">
            <v>RECODE MISSING VALUES
'Don't know' for years should be 9998
'Don't know' for months should be 98</v>
          </cell>
          <cell r="N35" t="str">
            <v>Range</v>
          </cell>
          <cell r="O35" t="str">
            <v>Range</v>
          </cell>
          <cell r="R35" t="str">
            <v>Condition 1.
"Year" (should be &gt;= 1900 &amp; =&lt; 2026) OR (be=9998)
Condition 2.
"Month" (should be &gt;= 1 &amp; =&lt; 12) OR (be=98)</v>
          </cell>
          <cell r="S35" t="str">
            <v>Condition 1.
INVALID YEAR. PLEASE CHECK
Condition 2.
INVALID MONTH. PLEASE CHECK</v>
          </cell>
          <cell r="T35" t="str">
            <v>Condition 1.
LSMS 2015 (s1_firstmove)
Condition 2.
LSMS 2015 (adapted from s1_firstmove)</v>
          </cell>
          <cell r="U35" t="str">
            <v>Change "2023" on validation for current year of survey</v>
          </cell>
          <cell r="W35" t="str">
            <v>Done</v>
          </cell>
        </row>
        <row r="36">
          <cell r="E36" t="str">
            <v>Host_b_when</v>
          </cell>
          <cell r="F36" t="str">
            <v>DH_05</v>
          </cell>
          <cell r="G36">
            <v>2</v>
          </cell>
          <cell r="H36" t="str">
            <v>OI</v>
          </cell>
          <cell r="I36" t="str">
            <v xml:space="preserve">If several household members arrived in [host country] before you, please refer to the member who arrived in [host country] first.
To the best of your knowledge, when did this person arrive in [host country]?   Please give the year and the month. </v>
          </cell>
          <cell r="K36" t="str">
            <v>Year:  
98. Don’t know
Change 98 to 9998 in 'Year"
Month:    
98. Don’t know</v>
          </cell>
          <cell r="L36" t="str">
            <v xml:space="preserve">CHANGE THE HINT: 
If the year is unknown enter 9998
If the month is unknown enter 98
</v>
          </cell>
          <cell r="M36" t="str">
            <v>RECODE MISSING VALUES
'Don't know' for years should be 9998
'Don't know' for months should be 98</v>
          </cell>
          <cell r="N36" t="str">
            <v>Range</v>
          </cell>
          <cell r="O36" t="str">
            <v>Range</v>
          </cell>
          <cell r="P36" t="str">
            <v xml:space="preserve">INTER-QUESTION </v>
          </cell>
          <cell r="R36" t="str">
            <v>Condition 1.
"Year" (should be &gt;= 1900 &amp; =&lt;  2026) OR (be=9998)
Condition 2.
"Month" (should be &gt;= 1 &amp; =&lt;  12) OR (be=98)
Condition 3.
This date in Host_b_when should be BEFORE the date specified in hh_date (when interviewee arrived to HC) from Roster</v>
          </cell>
          <cell r="S36" t="str">
            <v xml:space="preserve">Condition 1.
INVALID YEAR. PLEASE CHECK
Condition 2.
INVALID MONTH. PLEASE CHECK
Condition 3.
THIS DATE SHOULD BE BEFORE THE DATE THE INTERVIEWEE ARRIVED TO [HOST COUNTRY], SPECIFIED IN ROSTER. PLEASE CHECK
</v>
          </cell>
          <cell r="T36" t="str">
            <v>Condition 1.
LSMS 2015 (s1_firstmove)
Condition 2.
LSMS 2015 (adapted from s1_firstmove)
Condition 3.
New</v>
          </cell>
          <cell r="U36" t="str">
            <v>Change "2023" on validation for current year of survey</v>
          </cell>
          <cell r="V36" t="str">
            <v>NOT PENDANT ANYMORE. 
Condition 3 was identified as priority for inter-question validations</v>
          </cell>
          <cell r="W36" t="str">
            <v>NA</v>
          </cell>
        </row>
        <row r="37">
          <cell r="E37" t="str">
            <v>FD_when</v>
          </cell>
          <cell r="F37" t="str">
            <v>DH_11</v>
          </cell>
          <cell r="G37">
            <v>1</v>
          </cell>
          <cell r="H37" t="str">
            <v>OI</v>
          </cell>
          <cell r="I37" t="str">
            <v>When did you leave [COUNTRY OF FORCED DISPLACEMENT]?  
Please give the year and the month.</v>
          </cell>
          <cell r="K37" t="str">
            <v>Year:  
98. Don’t know
Change 98 to 9998
Month:    
98. Don’t know</v>
          </cell>
          <cell r="L37" t="str">
            <v xml:space="preserve">CHANGE THE HINT: 
If the year is unknown enter 9998
If the month is unknown enter 98
</v>
          </cell>
          <cell r="M37" t="str">
            <v>RECODE MISSING VALUES
'Don't know' for years should be 9998
'Don't know' for months should be 98</v>
          </cell>
          <cell r="N37" t="str">
            <v>Range</v>
          </cell>
          <cell r="O37" t="str">
            <v>Range</v>
          </cell>
          <cell r="P37" t="str">
            <v xml:space="preserve">INTER-QUESTION </v>
          </cell>
          <cell r="R37" t="str">
            <v>Condition 1.
"Year" (should be &gt;= 1900 &amp; =&lt;  2025) OR (be=9998)
Condition 2.
"Month" (should be &gt;= 1 &amp; =&lt;  12) OR (be=98)
Condition 3.
This date should be the SAME or BEFORE the date in hh_date (date of arrival to HC in Roster)</v>
          </cell>
          <cell r="S37" t="str">
            <v>Condition 1.
INVALID YEAR. PLEASE CHECK
Condition 2.
INVALID MONTH. PLEASE CHECK
Condition 3.
DATE OF LEAVING [COUNTRY OF FORCED DISPLACEMENT] SEEMS INCONSISTENT WITH DATE OF ARRIVE TO [HOST COUNTRY] IDENTIFIED IN ROSTER. PLEASE CHECK</v>
          </cell>
          <cell r="T37" t="str">
            <v>Condition 1.
LSMS 2015 (s1_firstmove)
LSMS 2015 (adapted from s1_firstmove)
Condition 2.
New</v>
          </cell>
          <cell r="U37" t="str">
            <v>Condition 1.
Change "2023" on validation for current year of survey
Condition 2.
Not necessary</v>
          </cell>
          <cell r="V37" t="str">
            <v>NOT PENDANT ANYMORE. 
Condition 3 was identified as priority for inter-question validations</v>
          </cell>
          <cell r="W37" t="str">
            <v xml:space="preserve">Not possible at the moment </v>
          </cell>
        </row>
        <row r="38">
          <cell r="E38" t="str">
            <v>FD_last_res</v>
          </cell>
          <cell r="F38" t="str">
            <v>DH_19</v>
          </cell>
          <cell r="G38">
            <v>1</v>
          </cell>
          <cell r="H38" t="str">
            <v>SS</v>
          </cell>
          <cell r="I38" t="str">
            <v>What was your last country of residence before moving to [host country]?</v>
          </cell>
          <cell r="K38" t="str">
            <v>List of countries to be adapted to each context.</v>
          </cell>
          <cell r="R38" t="str">
            <v>Country selected here must be different than country specified in FD_where (country of forced displacement)</v>
          </cell>
          <cell r="S38" t="str">
            <v>THIS COUNTRY WAS ALREADY SELECTED AS COUNTRY OF FORCED DISPLACEMENT. PLEASE CHECK</v>
          </cell>
          <cell r="T38" t="str">
            <v>New</v>
          </cell>
          <cell r="W38" t="str">
            <v>Done</v>
          </cell>
        </row>
        <row r="39">
          <cell r="E39" t="str">
            <v>FD_loc_first</v>
          </cell>
          <cell r="F39" t="str">
            <v>DH_21b</v>
          </cell>
          <cell r="G39">
            <v>1</v>
          </cell>
          <cell r="I39" t="str">
            <v xml:space="preserve">What is the first location where you lived for more than one month in [host country]? Tell me the name of the province, the county, the district and the locality, i.e. village, town or camp name? </v>
          </cell>
          <cell r="K39" t="str">
            <v>NUTS 1 (provincial level):
NUTS 2 (county level):
NUTS 3 (district level): 
NUTS 4 (village, town or camp name):</v>
          </cell>
          <cell r="R39" t="str">
            <v>This locations should be different than current location</v>
          </cell>
          <cell r="S39" t="str">
            <v>THIS LOCATION WAS SELECTED AS CURRENT LOCATION. PLEASE CHECK</v>
          </cell>
          <cell r="T39" t="str">
            <v>New</v>
          </cell>
        </row>
        <row r="40">
          <cell r="E40" t="str">
            <v>FD_loc_where</v>
          </cell>
          <cell r="F40" t="str">
            <v>DH_22</v>
          </cell>
          <cell r="G40">
            <v>3</v>
          </cell>
          <cell r="H40" t="str">
            <v>MS</v>
          </cell>
          <cell r="I40" t="str">
            <v xml:space="preserve">Where did you live for more than one month in [host country]?    Please give the 3 most recent locations. For each location, tell me the name of the province, the county, the district and the locality, i.e. village or town? </v>
          </cell>
          <cell r="J40" t="str">
            <v>Record the 3 most recent locations.</v>
          </cell>
          <cell r="K40" t="str">
            <v xml:space="preserve">
Change codes into letters, and 96 to OT and 99 to RF? Since it is a MS question
1. in another camp/site: specify the name
2. in another village: specify NUTS 1 to 4
3. in another city: specify  NUTS 1 to 4
96. Other: specify  
99. Refuse to answer</v>
          </cell>
          <cell r="N40" t="str">
            <v>MS 
(If DK or RF are selected)</v>
          </cell>
          <cell r="O40" t="str">
            <v>MS 
(A location (answer) can only be selected once)</v>
          </cell>
          <cell r="P40" t="str">
            <v>INTER-QUESTION 
within same module</v>
          </cell>
          <cell r="R40" t="str">
            <v>Condition 1.
If 99 is selected, then no other response should be selected at the same time
Condition 2.
Location(s) identified here should be different between them. 
Condition 3.
Location(s) identified here should be different from FD_loc_first (first location where the respondent lived for more than one month, which is collected only in case they not always lived in current location)</v>
          </cell>
          <cell r="S40" t="str">
            <v>Conditon 1.
THE COMBINATION OF ANSWERS YOU HAVE CHOSEN IS NOT POSSIBLE. PLEASE CHECK
Condition 2.
INVALID LOCATION. THIS LOCATION HAS ALREADY BEEN SELECTED AS FIRST LOCATION WHERE THIS PERSON LIVED IN [HOST COUNTRY]. PLEASE CHECK.
Condition 3.
INVALID LOCATION. THIS LOCATION HAS ALREADY BEEN SELECTED BEFORE. PLEASE CHECK</v>
          </cell>
          <cell r="T40" t="str">
            <v>Condition 1.
New
Condition 2.
New
Condition 3.
New</v>
          </cell>
        </row>
        <row r="41">
          <cell r="E41" t="str">
            <v>Asyl_grant_ID</v>
          </cell>
          <cell r="F41" t="str">
            <v>DH_29</v>
          </cell>
          <cell r="G41">
            <v>1</v>
          </cell>
          <cell r="H41" t="str">
            <v>OI</v>
          </cell>
          <cell r="I41" t="str">
            <v>Please tell me the names of all household members who were granted asylum in [host country].</v>
          </cell>
          <cell r="K41" t="str">
            <v>ID codes:
00. volunteered response: all household  members</v>
          </cell>
          <cell r="R41" t="str">
            <v xml:space="preserve">Ask Imane/lorenza. Im not putting here validation that this should be names that also appear in Asyl_host_ID. In case they got asylum as prima facie </v>
          </cell>
          <cell r="W41" t="str">
            <v>Done</v>
          </cell>
        </row>
        <row r="42">
          <cell r="E42" t="str">
            <v>Return_when</v>
          </cell>
          <cell r="F42" t="str">
            <v>DH_40</v>
          </cell>
          <cell r="G42">
            <v>1</v>
          </cell>
          <cell r="H42" t="str">
            <v>OI</v>
          </cell>
          <cell r="I42" t="str">
            <v>When did you return to [host country]?  
Please give the year and the month.</v>
          </cell>
          <cell r="K42" t="str">
            <v>Year:  
98. Don’t know
Change 98 to 9998
Month:    
98. Don’t know</v>
          </cell>
          <cell r="L42" t="str">
            <v xml:space="preserve">CHANGE THE HINT: 
If the year is unknown enter 9998
If the month is unknown enter 98
</v>
          </cell>
          <cell r="M42" t="str">
            <v>RECODE MISSING VALUES
'Don't know' for years should be 9998
'Don't know' for months should be 98</v>
          </cell>
          <cell r="N42" t="str">
            <v>Range</v>
          </cell>
          <cell r="O42" t="str">
            <v>Range</v>
          </cell>
          <cell r="R42" t="str">
            <v>Condition 1.
"Year" (should be &gt;= 1900 &amp; =&lt;  2023) OR (be=9998)
Condition 2.
"Month" (should be &gt;= 1 &amp; =&lt;  12) OR (be=98)</v>
          </cell>
          <cell r="S42" t="str">
            <v>Condition 1.
INVALID YEAR. PLEASE CHECK
Condition 2.
INVALID MONTH. PLEASE CHECK</v>
          </cell>
          <cell r="T42" t="str">
            <v>Condition 1.
LSMS 2015 (s1_firstmove)
Conditoin 2.
LSMS 2015 (adapted from s1_firstmove)</v>
          </cell>
          <cell r="U42" t="str">
            <v>Change "2023" on validation for current year of survey</v>
          </cell>
          <cell r="W42" t="str">
            <v>Done</v>
          </cell>
        </row>
        <row r="43">
          <cell r="E43" t="str">
            <v>IDP_long</v>
          </cell>
          <cell r="F43" t="str">
            <v>DH_IDP_03</v>
          </cell>
          <cell r="G43">
            <v>2</v>
          </cell>
          <cell r="H43" t="str">
            <v>OI</v>
          </cell>
          <cell r="I43" t="str">
            <v>Approximately, for how long were you living in [location of origin] before you were forced to flee? Tell us in terms of years and months.</v>
          </cell>
          <cell r="K43" t="str">
            <v xml:space="preserve">Year:  
98. Don’t know
Month:    
98. Don’t know
97. v.r. Since my birth
change 97 to 997
Change 98 to 998 in Years
Put first Months, and then Years
</v>
          </cell>
          <cell r="L43" t="str">
            <v xml:space="preserve">CHANGE THE HINT: 
If 'volunteer responde: Since my birth' enter 97 in "Months"
If Month is unknown enter 98
If Year is unknown enter 998
</v>
          </cell>
          <cell r="M43" t="str">
            <v xml:space="preserve">RECODE MISSING VALUES
If 'volunteer responde: Since my birth' enter 97 in months
'Don't know' for months should be 98
'Don't know' for years should be 998
</v>
          </cell>
          <cell r="N43" t="str">
            <v>Range</v>
          </cell>
          <cell r="O43" t="str">
            <v>Range</v>
          </cell>
          <cell r="R43" t="str">
            <v xml:space="preserve">
Condition 1.
"Months" (should be &gt;= 0 &amp; =&lt;  11) OR (be=97) OR (be=98)
Condition 2.
"Years" (should be &gt;=  0 &amp; =&lt;  110) OR (be=9998)
</v>
          </cell>
          <cell r="S43" t="str">
            <v xml:space="preserve">
Condition 1.
NUMBER OF MONTHS SHOULD BE BETWEEN 0 AND 11. PLEASE CHECK
Conditoin 2.
INVALID YEAR. PLEASE CHECK
</v>
          </cell>
          <cell r="T43" t="str">
            <v>Condition 1.
LSMS 2015 (s1_hmthawy)
Condition 2.
LSMS 2015 (s1_hmthawy)</v>
          </cell>
          <cell r="V43" t="str">
            <v>NOT PENDANT ANYMORE.
LEONA AND PETRA.Can we make that enumerators fill in first 'Months', abd then Years?
The missing code should only appear in the variable 'Months", so if the enumerator enters 97 there, then, there should be a skip to the next question, so 'year' should not appear for enumerators to fill in.</v>
          </cell>
          <cell r="W43" t="str">
            <v>Done</v>
          </cell>
        </row>
        <row r="44">
          <cell r="E44" t="str">
            <v>IDP_left_when</v>
          </cell>
          <cell r="F44" t="str">
            <v>DH_IDP_04</v>
          </cell>
          <cell r="G44">
            <v>1</v>
          </cell>
          <cell r="H44" t="str">
            <v>OI</v>
          </cell>
          <cell r="I44" t="str">
            <v>When did you leave [location of origin]?  
Please give the year and the month.</v>
          </cell>
          <cell r="K44" t="str">
            <v>Year:  
98. Don’t know
Change 98 to 9998
Month:    
98. Don’t know</v>
          </cell>
          <cell r="L44" t="str">
            <v xml:space="preserve">CHANGE THE HINT: 
If the year is unknown enter 9998
If the month is unknown enter 98
</v>
          </cell>
          <cell r="M44" t="str">
            <v>RECODE MISSING VALUES
'Don't know' for years should be 9998
'Don't know' for months should be 98</v>
          </cell>
          <cell r="N44" t="str">
            <v>Range</v>
          </cell>
          <cell r="O44" t="str">
            <v>Range</v>
          </cell>
          <cell r="R44" t="str">
            <v>Condition 1.
"Year" (should be &gt;= 1900 &amp; =&lt;  2026) OR (be=9998)
Condition 2.
"Month" (should be &gt;= 1 &amp; =&lt;  12) OR (be=98)</v>
          </cell>
          <cell r="S44" t="str">
            <v>Condition 1.
INVALID YEAR. PLEASE CHECK
Condition 2.
INVALID MONTH. PLEASE CHECK</v>
          </cell>
          <cell r="T44" t="str">
            <v>Condition 1.
LSMS 2015 (s1_firstmove)
Condition 2.
LSMS 2015 (adapted from s1_firstmove)</v>
          </cell>
          <cell r="U44" t="str">
            <v>Change "2023" on validation for current year of survey</v>
          </cell>
          <cell r="W44" t="str">
            <v>Done</v>
          </cell>
        </row>
        <row r="45">
          <cell r="E45" t="str">
            <v>IDP_where</v>
          </cell>
          <cell r="F45" t="str">
            <v>DH_IDP_06</v>
          </cell>
          <cell r="G45">
            <v>1</v>
          </cell>
          <cell r="H45" t="str">
            <v>OT</v>
          </cell>
          <cell r="I45" t="str">
            <v xml:space="preserve">When you were forced to flee, where did you go first? Tell me the name of  [the country], the province, the county, the district and the locality, i.e. village or town? </v>
          </cell>
          <cell r="K45" t="str">
            <v>NUTS 0 (country):
NUTS 1 (provincial level):
NUTS 2 (county level):
NUTS 3 (district level): 
NUTS 4 (village or town name):
Volunteered response: the location where I currently live</v>
          </cell>
          <cell r="R45" t="str">
            <v>This location should be different than the one in IDP_origine</v>
          </cell>
          <cell r="S45" t="str">
            <v>LOCATION IS THE SAME AS LOCATION FROM WERE THE RESPONDENT FLED. PLEASE CHECK</v>
          </cell>
          <cell r="T45" t="str">
            <v>NEW</v>
          </cell>
          <cell r="V45" t="str">
            <v>I'm using "flee" instead of forced displacemnet because is the term we use in question IDP_origine</v>
          </cell>
          <cell r="W45" t="str">
            <v xml:space="preserve">Not possible at the moment </v>
          </cell>
        </row>
        <row r="46">
          <cell r="E46" t="str">
            <v>IDP_loc</v>
          </cell>
          <cell r="F46" t="str">
            <v>DH_IDP_08</v>
          </cell>
          <cell r="G46">
            <v>3</v>
          </cell>
          <cell r="H46" t="str">
            <v>OT</v>
          </cell>
          <cell r="I46" t="str">
            <v xml:space="preserve">Where did you live for more than one month since you were forced to flee [location of origin]? Please give the 3 most recent locations. Tell me the name of [the country], the province, the county, the district and the locality, i.e. village or town? 
</v>
          </cell>
          <cell r="K46" t="str">
            <v>NUTS 0 (country):
NUTS 1 (provincial level):
NUTS 2 (county level):
NUTS 3 (district level): 
NUTS 4 (village or town name):
Volunteered response: no other location than the first one where I fled</v>
          </cell>
          <cell r="R46" t="str">
            <v>Locations identified here should (be different from each other) AND (different from location in IDP_where)</v>
          </cell>
          <cell r="S46" t="str">
            <v>THIS LOCATION IS THE SAME AS PREVIOUS ONES WHERE [NAME] LIVED. PLEASE CHECK</v>
          </cell>
          <cell r="T46" t="str">
            <v>NEW</v>
          </cell>
          <cell r="V46" t="str">
            <v>IDP_origine was not considered in this validation, to allow cases where the person might come back to that location of first flee</v>
          </cell>
          <cell r="W46" t="str">
            <v xml:space="preserve">Not possible at the moment </v>
          </cell>
        </row>
        <row r="47">
          <cell r="E47" t="str">
            <v>IDP_back_first</v>
          </cell>
          <cell r="F47" t="str">
            <v>DH_IDP_12</v>
          </cell>
          <cell r="G47">
            <v>3</v>
          </cell>
          <cell r="H47" t="str">
            <v>OI</v>
          </cell>
          <cell r="I47" t="str">
            <v>When was your first attempt to [go/come] back to [location of origin]?  
Please give the year and the month.</v>
          </cell>
          <cell r="K47" t="str">
            <v>Year:  
98. Don’t know
Change 98 to 9998
Month:    
98. Don’t know</v>
          </cell>
          <cell r="L47" t="str">
            <v xml:space="preserve">CHANGE THE HINT: 
If the year is unknown enter 9998
If the month is unknown enter 98
</v>
          </cell>
          <cell r="M47" t="str">
            <v>RECODE MISSING VALUES
'Don't know' for years should be 9998
'Don't know' for months should be 98</v>
          </cell>
          <cell r="N47" t="str">
            <v>Range</v>
          </cell>
          <cell r="O47" t="str">
            <v>Range</v>
          </cell>
          <cell r="R47" t="str">
            <v>Condition 1.
"Year" (should be &gt;= 1900 &amp; =&lt;2026) OR (be=9998)
Condition 2.
"Month" (should be &gt;= 1 &amp; =&lt;12) OR (be=98)</v>
          </cell>
          <cell r="S47" t="str">
            <v>Condition 1.
INVALID YEAR. PLEASE CHECK
Condition 2.
INVALID MONTH. PLEASE CHECK</v>
          </cell>
          <cell r="T47" t="str">
            <v>Condition 1.
LSMS 2015 (s1_firstmove)
Condition 2.
LSMS 2015 (adapted from s1_firstmove)
Condition 3.
New</v>
          </cell>
          <cell r="U47" t="str">
            <v>Change "2023" on validation for current year of survey</v>
          </cell>
          <cell r="V47" t="str">
            <v>not pendant anymore. Condition 3 was dropped for SSD</v>
          </cell>
          <cell r="W47" t="str">
            <v>DOne</v>
          </cell>
        </row>
        <row r="48">
          <cell r="E48" t="str">
            <v>IDP_back_when</v>
          </cell>
          <cell r="F48" t="str">
            <v>DH_IDP_13</v>
          </cell>
          <cell r="G48">
            <v>1</v>
          </cell>
          <cell r="H48" t="str">
            <v>OI</v>
          </cell>
          <cell r="I48" t="str">
            <v>When did you come back to [location of origin]?  Please give the year and the month.</v>
          </cell>
          <cell r="K48" t="str">
            <v>Year:  
98. Don’t know
Change 98 to 9998
Month:    
98. Don’t know</v>
          </cell>
          <cell r="L48" t="str">
            <v xml:space="preserve">CHANGE THE HINT: 
If the year is unknown enter 9998
If the month is unknown enter 98
</v>
          </cell>
          <cell r="M48" t="str">
            <v>RECODE MISSING VALUES
'Don't know' for years should be 9998
'Don't know' for months should be 98</v>
          </cell>
          <cell r="N48" t="str">
            <v>Range</v>
          </cell>
          <cell r="O48" t="str">
            <v>Range</v>
          </cell>
          <cell r="P48" t="str">
            <v xml:space="preserve">INTER-QUESTION </v>
          </cell>
          <cell r="R48" t="str">
            <v>Condition 1. 
"Year" (should be &gt;= 1900 &amp; =&lt;2026) OR (be=999)
Condition 2.
"Month" (should be &gt;= 1 &amp; =&lt;12) OR (be=9998)
Condition 3. 
This date should be  AFTER or the SAME as the date in IDP_left_when (when interviewee left locatin of origin)</v>
          </cell>
          <cell r="S48" t="str">
            <v>Condition 1. 
INVALID YEAR. PLEASE CHECK
Condition 2.
INVALID MONTH. PLEASE CHECK
Condition 3.
DATE IS INCONSISTENT WITH DATE OF LEAVING [LOCATION OF ORIGIN]. PLEASE CHECK</v>
          </cell>
          <cell r="T48" t="str">
            <v>Condition 1.
LSMS 2015 (s1_firstmove)
LSMS 2015 (adapted from s1_firstmove)
Condition 2.
New
Condition 3.
New</v>
          </cell>
          <cell r="U48" t="str">
            <v>Condition 1. 
Change "2023" on validation for current year of survey
Condition 2.
Not necessary</v>
          </cell>
          <cell r="V48" t="str">
            <v>NOT PENDANT ANYMORE. CONDITION 3 IS A INTER-QUESTION VALIDATION THAT HAS BEEN PRIORITIZED for ssd</v>
          </cell>
          <cell r="W48" t="str">
            <v xml:space="preserve">Not possible at the moment </v>
          </cell>
        </row>
        <row r="49">
          <cell r="H49" t="str">
            <v>MS</v>
          </cell>
          <cell r="I49" t="str">
            <v>Why are not all household members living with you in [current location]?</v>
          </cell>
          <cell r="K49" t="str">
            <v xml:space="preserve">A. work somewhere else/live in a place with better job opportunities
B. live in a place with better access to services. For example, heathcare services, education. 
C. live closer to family members
D. live closer to their land
OT. Other: specify
DK. Don't know
RF. Refuse to answer
</v>
          </cell>
          <cell r="R49" t="str">
            <v>Condition 1.
If "DK" OR "RF" are selected, then no other response should be selected at the same time</v>
          </cell>
          <cell r="S49" t="str">
            <v xml:space="preserve">Conditon 1.
THE COMBINATION OF ANSWERS YOU HAVE CHOSEN IS NOT POSSIBLE. PLEASE CHECK
</v>
          </cell>
        </row>
        <row r="50">
          <cell r="E50" t="str">
            <v>RR_loc_when</v>
          </cell>
          <cell r="F50" t="str">
            <v>DH_RR_02</v>
          </cell>
          <cell r="G50">
            <v>1</v>
          </cell>
          <cell r="H50" t="str">
            <v>OI</v>
          </cell>
          <cell r="I50" t="str">
            <v>When did you leave [location of origin]?  
Please give the year and the month.</v>
          </cell>
          <cell r="K50" t="str">
            <v>Year:  
98. Don’t know
Change 98 to 9998
Month:    
98. Don’t know</v>
          </cell>
          <cell r="L50" t="str">
            <v xml:space="preserve">CHANGE THE HINT: 
If the year is unknown enter 9998
If the month is unknown enter 98
</v>
          </cell>
          <cell r="M50" t="str">
            <v>RECODE MISSING VALUES
'Don't know' for years should be 9998
'Don't know' for months should be 98</v>
          </cell>
          <cell r="N50" t="str">
            <v>Range</v>
          </cell>
          <cell r="O50" t="str">
            <v>Range</v>
          </cell>
          <cell r="R50" t="str">
            <v xml:space="preserve">"Years" (should be &gt;= 1900 &amp; =&lt;2026) OR (be=9998)
"Month" (should be &gt;= 1 &amp; =&lt;12) OR (be=98)
</v>
          </cell>
          <cell r="S50" t="str">
            <v>Condition 1.
INVALID YEAR. PLEASE CHECK
Condition 2.
INVALID MONTH. PLEASE CHECK</v>
          </cell>
          <cell r="T50" t="str">
            <v>LSMS 2015 (s1_firstmove)</v>
          </cell>
          <cell r="U50" t="str">
            <v>Change "2023" on validation for current year of survey</v>
          </cell>
          <cell r="W50" t="str">
            <v>Done</v>
          </cell>
        </row>
        <row r="51">
          <cell r="E51" t="str">
            <v>RR_country_when</v>
          </cell>
          <cell r="F51" t="str">
            <v>DH_RR_03</v>
          </cell>
          <cell r="G51">
            <v>1</v>
          </cell>
          <cell r="H51" t="str">
            <v>OI</v>
          </cell>
          <cell r="I51" t="str">
            <v>When did you leave [country of origin]?  
Please give the year and the month.</v>
          </cell>
          <cell r="K51" t="str">
            <v>Year:  
98. Don’t know
Change 98 to 9998
Month:    
98. Don’t know</v>
          </cell>
          <cell r="L51" t="str">
            <v xml:space="preserve">CHANGE THE HINT: 
If the year is unknown enter 9998
If the month is unknown enter 98
</v>
          </cell>
          <cell r="M51" t="str">
            <v>RECODE MISSING VALUES
'Don't know' for years should be 9998
'Don't know' for months should be 98</v>
          </cell>
          <cell r="N51" t="str">
            <v>Range</v>
          </cell>
          <cell r="O51" t="str">
            <v>Range</v>
          </cell>
          <cell r="P51" t="str">
            <v xml:space="preserve">INTER-QUESTION </v>
          </cell>
          <cell r="Q51" t="str">
            <v xml:space="preserve">INTER-QUESTION </v>
          </cell>
          <cell r="R51" t="str">
            <v>Condition 1.
"Years" (should be &gt;= 1900 &amp; =&lt;2026) OR (be=9998)
Condition 2.
"Month" (should be &gt;= 1 &amp; =&lt;12) OR (be=98)
Condition 3.
This date should be the SAME or AFTER the one in RR_loc_when
Condition 4.
This date should be the SAME or BEFORE the date in hh_date (date of arrival to HC in Roster)</v>
          </cell>
          <cell r="S51" t="str">
            <v>Conditoin 1. 
INVALID YEAR. PLEASE CHECK
Condition 2.
INVALID MONTH. PLEASE CHECK
Condition 3.
THIS DATE SHOULD NOT BE BEFORE THE DATE OF LEAVING [LOCATION OF ORIGIN]. PLEASE CHECK
Condition 4.
THIS DATE IS INCONSISTENT WITH DATE OF ARRIVAL TO [HOST COUNTRY] SPECIFIED IN ROSTER. PLEASE CHECK</v>
          </cell>
          <cell r="T51" t="str">
            <v>Condition 1.
LSMS 2015 (s1_firstmove)
Condition 2.
New</v>
          </cell>
          <cell r="U51" t="str">
            <v>Conditoin 1.
Change "2023" on validation for current year of survey</v>
          </cell>
          <cell r="V51" t="str">
            <v>NOT PENDANT ANYMORE. CONDITION 3 AND 4  ARE INTER-QUESTION VALIDATIONS THAT HAS BEEN PRIORITIZED for ssd</v>
          </cell>
          <cell r="W51" t="str">
            <v xml:space="preserve">Not possible at the moment </v>
          </cell>
        </row>
        <row r="52">
          <cell r="E52" t="str">
            <v>RR_where</v>
          </cell>
          <cell r="F52" t="str">
            <v>DH_RR_06</v>
          </cell>
          <cell r="G52">
            <v>2</v>
          </cell>
          <cell r="H52" t="str">
            <v>MS</v>
          </cell>
          <cell r="I52" t="str">
            <v>In which countries did you live for more than one month after leaving [COUNTRY OF ORIGIN] ?</v>
          </cell>
          <cell r="J52" t="str">
            <v>Recod all that apply.</v>
          </cell>
          <cell r="K52" t="str">
            <v>List of countries to be adapted to each context.
Shall we add a RF?</v>
          </cell>
          <cell r="N52" t="str">
            <v>We would need a validation here if we had a RF among responses</v>
          </cell>
          <cell r="W52" t="str">
            <v>Done</v>
          </cell>
        </row>
        <row r="53">
          <cell r="H53" t="str">
            <v>MS</v>
          </cell>
          <cell r="I53" t="str">
            <v>For what reasons did you or any member of your household come back to visit [country of origin] during the time you were living abroad?</v>
          </cell>
          <cell r="K53" t="str">
            <v>A. To visit (family, friends)   
B. To check the status of the property  
C. To plant and harvest
D. To do some business/get money                                                               
E. To figure out whether I want to return
96. Other: specify
98. Refuse to answer</v>
          </cell>
          <cell r="R53" t="str">
            <v xml:space="preserve">Condition 1.
If "RF" is selected, then no other response should be selected at the same time
</v>
          </cell>
          <cell r="S53" t="str">
            <v xml:space="preserve">Conditon 1.
THE COMBINATION OF ANSWERS YOU HAVE CHOSEN IS NOT POSSIBLE. PLEASE CHECK
</v>
          </cell>
        </row>
        <row r="54">
          <cell r="H54" t="str">
            <v>MS</v>
          </cell>
          <cell r="I54" t="str">
            <v>Why are not all household members living with you in [current location]?</v>
          </cell>
          <cell r="K54" t="str">
            <v xml:space="preserve">A. work somewhere else/live in a place with better job opportunities
B. live in a place with better access to services. For example, heathcare services, education. 
C. live closer to family members
D. live closer to their land
OT. Other: specify
DK. Don't know
RF. Refuse to answer
</v>
          </cell>
          <cell r="R54" t="str">
            <v>Condition 1.
If "DK" OR "RF" are selected, then no other response should be selected at the same time</v>
          </cell>
          <cell r="S54" t="str">
            <v xml:space="preserve">Conditon 1.
THE COMBINATION OF ANSWERS YOU HAVE CHOSEN IS NOT POSSIBLE. PLEASE CHECK
</v>
          </cell>
        </row>
        <row r="55">
          <cell r="E55" t="str">
            <v>RR_back_first</v>
          </cell>
          <cell r="F55" t="str">
            <v>DH_RR_09</v>
          </cell>
          <cell r="G55">
            <v>3</v>
          </cell>
          <cell r="H55" t="str">
            <v>OI</v>
          </cell>
          <cell r="I55" t="str">
            <v>When was your first attempt to come back to [COUNTRY OF ORIGIN]?  
Please give the year and the month.</v>
          </cell>
          <cell r="K55" t="str">
            <v>Year:  
98. Don’t know
Change 98 to 9998
Month:    
98. Don’t know</v>
          </cell>
          <cell r="L55" t="str">
            <v xml:space="preserve">CHANGE THE HINT: 
If the year is unknown enter 9998
If the month is unknown enter 98
</v>
          </cell>
          <cell r="M55" t="str">
            <v>RECODE MISSING VALUES
'Don't know' for years should be 9998
'Don't know' for months should be 98</v>
          </cell>
          <cell r="N55" t="str">
            <v>Range</v>
          </cell>
          <cell r="O55" t="str">
            <v>Range</v>
          </cell>
          <cell r="R55" t="str">
            <v>Condition 1.
"Year" (should be &gt;= 1900 &amp; =&lt;2025) OR (be=9998)
Condition 2.
"Month" (should be &gt;= 1 &amp; =&lt;12) OR (be=98)
Condition3.
The date should be the same as or  later than the date in DH_RR_03.</v>
          </cell>
          <cell r="S55" t="str">
            <v>Condition 1.
INVALID YEAR. PLEASE CHECK
Condition 2.
INVALID MONTH. PLEASE CHECK
Condition 3.
THIS DATE SHOULD BE THE SAME OR LATER TO THE DATE THE RESPONDENT LEFT [COUNTRY OF ORIGIN]. PLEASE CHECK</v>
          </cell>
          <cell r="T55" t="str">
            <v>Conditoin 1.
LSMS 2015 (s1_firstmove)
Condition 2.
LSMS 2015 (adapted from s1_firstmove)
Condition 3.
New</v>
          </cell>
          <cell r="U55" t="str">
            <v>Condition 1.
Change "2023" on validation for current year of survey
Condition 2.
Not necessary</v>
          </cell>
          <cell r="V55" t="str">
            <v>NOT PENDANT ANYMORE
CONDITION 3 HAS BEEN DROPED FOR SSD</v>
          </cell>
          <cell r="W55" t="str">
            <v>Done</v>
          </cell>
        </row>
        <row r="56">
          <cell r="E56" t="str">
            <v>RR_back_when</v>
          </cell>
          <cell r="F56" t="str">
            <v>DH_RR_10</v>
          </cell>
          <cell r="G56">
            <v>1</v>
          </cell>
          <cell r="H56" t="str">
            <v>OI</v>
          </cell>
          <cell r="I56" t="str">
            <v>When did you come back to  [COUNTRY OF ORIGIN]?  Please give the year and the month.</v>
          </cell>
          <cell r="K56" t="str">
            <v>Year:  
98. Don’t know
Change 98 to 9998
Month:    
98. Don’t know</v>
          </cell>
          <cell r="N56" t="str">
            <v>INTER-QUESTION 
within same module</v>
          </cell>
          <cell r="O56" t="str">
            <v>INTER-QUESTION 
within same module</v>
          </cell>
          <cell r="R56" t="str">
            <v>Condition 1.
Date here (RR_back_when) should be the SAME or LATER than the date of leaving [COUNTRY OF ORIGIN] (RR_country_when)
Condition 2.
If RR_back_first is asked (1st attempt to come back to country or origin), then this date should be the SAME OR LATER  than RR_back_first.</v>
          </cell>
          <cell r="S56" t="str">
            <v>Condition 1.
THIS DATE IS IN INCONSISTENT WITH THE DATE OF LEAVING [COUNTRY OF ORIGIN]. PLEASE CHECK
Condition 2.
YOU SELECTED A DATE OF COMING BACK TO [COUNTRY OF ORIGIN] THAT PREVIOUS TO THE FIRST ATTEMPT TO COME BACK TO [CCOUNTRY OF ORIGIN]. PLEASE CHECK</v>
          </cell>
          <cell r="T56" t="str">
            <v>Inspired by BISP 2018</v>
          </cell>
          <cell r="V56" t="str">
            <v>Do we need the second validation? Might be too much…</v>
          </cell>
        </row>
        <row r="57">
          <cell r="F57" t="str">
            <v>HE04</v>
          </cell>
          <cell r="G57">
            <v>1</v>
          </cell>
          <cell r="H57" t="str">
            <v>OI</v>
          </cell>
          <cell r="I57" t="str">
            <v>In the past 7 days, on average how many hours of electricity were available  per day?</v>
          </cell>
          <cell r="J57" t="str">
            <v>Maximum 24 hours</v>
          </cell>
          <cell r="K57" t="str">
            <v xml:space="preserve">Number 
of hours _ _
Number 
of minutes _ _ _
Does not know / unsure 98
</v>
          </cell>
          <cell r="L57" t="str">
            <v>If Don’t'w know/unsure, enter 98</v>
          </cell>
          <cell r="M57" t="str">
            <v>Don’t know/unsure is 98</v>
          </cell>
          <cell r="N57" t="str">
            <v>Range</v>
          </cell>
          <cell r="R57" t="str">
            <v>Condition 1.
Number of hours should (be &gt;=0 &amp; &lt;=24) OR (BE=98)
Condition 2.
Number of minutes should (be &gt;= 0 &amp; =&lt;59) OR (BE=98)</v>
          </cell>
          <cell r="S57" t="str">
            <v>Condition 1.
NUMBER OF HOURS SHOULD BE BETWEEN 0 AND 24. PLEASE CHECK
Condition 2.
NUMBER OF MINUTES SHOULD BE BETWEEN 0 AND 59. PLEASE CHECK</v>
          </cell>
          <cell r="T57" t="str">
            <v>new</v>
          </cell>
          <cell r="V57" t="str">
            <v>LEONA, PETRA: THIS VALIDATION HAS BEEN MODIFIED, TO INCLUDE THE MISSING CODE</v>
          </cell>
          <cell r="W57" t="str">
            <v>Done</v>
          </cell>
        </row>
        <row r="58">
          <cell r="F58" t="str">
            <v>HE05</v>
          </cell>
          <cell r="G58">
            <v>1</v>
          </cell>
          <cell r="H58" t="str">
            <v>OI</v>
          </cell>
          <cell r="I58" t="str">
            <v>In the past 7 days, on average how many hours of electricity were available each evening, from 6:00pm to 10:00pm from [response in HE01]?</v>
          </cell>
          <cell r="J58" t="str">
            <v>Maximum 4 hours</v>
          </cell>
          <cell r="K58" t="str">
            <v>Number 
of hours _ _
Number 
of minutes _ _ _
Does not know / unsure 98</v>
          </cell>
          <cell r="L58" t="str">
            <v>CHECK HINT
If Hours unknown enter 98
If Minutes unknown enter 98</v>
          </cell>
          <cell r="M58" t="str">
            <v>CHECK MISSING VALUES
"Don’t know"should be 98 in hours
"Don’t know"should be 98 in minutes</v>
          </cell>
          <cell r="N58" t="str">
            <v>Range</v>
          </cell>
          <cell r="O58" t="str">
            <v>Range</v>
          </cell>
          <cell r="R58" t="str">
            <v>Condition 1.
'Hours' should (be &gt;=0 &amp; =&lt; 4) or (BE=98)
Condition 2.
'Minutes' should (be &gt;=0 &amp; =&lt; 59) or (be=98)</v>
          </cell>
          <cell r="S58" t="str">
            <v xml:space="preserve">Condition 1.
NUMBER OF HOURS SHOULD BE BETWEEN 0 AND 4. PLEASE CHECK
Condition 2.
NUMBER OF MINUTES SHOULD BE BETWEEN 0 AND 59. PLEASE CHECK
</v>
          </cell>
          <cell r="T58" t="str">
            <v>NEW</v>
          </cell>
          <cell r="W58" t="str">
            <v>Done</v>
          </cell>
        </row>
        <row r="59">
          <cell r="F59" t="str">
            <v>HE06</v>
          </cell>
          <cell r="G59">
            <v>1</v>
          </cell>
          <cell r="H59" t="str">
            <v>OI</v>
          </cell>
          <cell r="I59" t="str">
            <v>In the past 7 days, how many times were there unscheduled outages or blackouts from [response in HE01]?</v>
          </cell>
          <cell r="K59" t="str">
            <v xml:space="preserve">Number of outages or blackouts  _ _
Don’t know / unsure 98
</v>
          </cell>
          <cell r="L59" t="str">
            <v>no changes needed</v>
          </cell>
          <cell r="M59" t="str">
            <v>no changes needed</v>
          </cell>
          <cell r="N59" t="str">
            <v>Range</v>
          </cell>
          <cell r="R59" t="str">
            <v>Condition 1.
Number (should be &gt;= 0 &amp; =&lt;90) OR (be = 98)</v>
          </cell>
          <cell r="S59" t="str">
            <v>Condition 1.
NUMBER SEEMS TO HIGH. PLEASE CHECK</v>
          </cell>
          <cell r="T59" t="str">
            <v>NEW</v>
          </cell>
          <cell r="W59" t="str">
            <v>Done</v>
          </cell>
        </row>
        <row r="60">
          <cell r="F60" t="str">
            <v>HE07</v>
          </cell>
          <cell r="G60">
            <v>1</v>
          </cell>
          <cell r="H60" t="str">
            <v>OI</v>
          </cell>
          <cell r="I60" t="str">
            <v>To the best of your knowledge, what is the total duration of all the unscheduled outages or blackouts in the past 7 days?</v>
          </cell>
          <cell r="K60" t="str">
            <v>Number 
of hours _ _
Number 
of minutes _ _ _
Does not know / unsure 98
Don’t know for Hours should 998</v>
          </cell>
          <cell r="L60" t="str">
            <v xml:space="preserve">CHANGE THE HINT: 
If Nb of Hours is unknown enter 998
If Nb of Mintes is unknown enter 98
</v>
          </cell>
          <cell r="M60" t="str">
            <v>RECODE MISSING VALUES
'Don't know' for Hours should be 998
'Don't know' for Minutes should be 98</v>
          </cell>
          <cell r="N60" t="str">
            <v>Range</v>
          </cell>
          <cell r="O60" t="str">
            <v>Range</v>
          </cell>
          <cell r="R60" t="str">
            <v>Condition 1.
'Number of hours' should (be &gt;=0 &amp; =&lt; 168 OR) OR (BE=998)  
Condition 2.
'Number of minutes' should (be &gt;= 0 &amp; =&lt; 59) OR (BE=98)</v>
          </cell>
          <cell r="S60" t="str">
            <v xml:space="preserve">Condition 1.
NUMBER OF HOURS SHOULD BE BETWEEN 0 AND 168. PLEASE CHECK
Condition 2.
NUMBER OF MINUTES SHOULD BE BETWEEN 0 AND 59. PLEASE CHECK
</v>
          </cell>
          <cell r="T60" t="str">
            <v>NEW</v>
          </cell>
          <cell r="W60" t="str">
            <v>Done</v>
          </cell>
        </row>
        <row r="61">
          <cell r="F61" t="str">
            <v>HC05</v>
          </cell>
          <cell r="G61">
            <v>2</v>
          </cell>
          <cell r="H61" t="str">
            <v>OR</v>
          </cell>
          <cell r="I61" t="str">
            <v>How much did this household pay for the fuel or energy source used  during the past 30 days for cooking?</v>
          </cell>
          <cell r="J61" t="str">
            <v>response in local currency</v>
          </cell>
          <cell r="K61" t="str">
            <v>amount in local currency…..
Pays nothing...............00 
Does not know...................99 
Go back to previous missing codes
Don’t know should be 98 and not 99</v>
          </cell>
          <cell r="L61" t="str">
            <v xml:space="preserve">CHANGE THE HINT: 
If household pays nothing, enter 00
If Don't know, enter 98
</v>
          </cell>
          <cell r="M61" t="str">
            <v xml:space="preserve">RECODE MISSING VALUES
Pays nothing, 00
Don’t know, 98
</v>
          </cell>
          <cell r="N61" t="str">
            <v>Range</v>
          </cell>
          <cell r="R61" t="str">
            <v>Condition 1
This number should be (&gt;=0 ) OR be == 98</v>
          </cell>
          <cell r="S61" t="str">
            <v>Condition 1
THE AMOUNT SHOULD BE AT LEAST 0. PLEASE CHECK.</v>
          </cell>
          <cell r="T61" t="str">
            <v>new</v>
          </cell>
          <cell r="U61" t="str">
            <v>country-tailored</v>
          </cell>
          <cell r="V61" t="str">
            <v>leona, petra
The missing codes changed here.</v>
          </cell>
          <cell r="W61" t="str">
            <v>Done</v>
          </cell>
        </row>
        <row r="62">
          <cell r="F62" t="str">
            <v>HC11</v>
          </cell>
          <cell r="G62">
            <v>3</v>
          </cell>
          <cell r="I62" t="str">
            <v xml:space="preserve">On a single trip, how long does it take for this person to go to collect the fuel, get the fuel, and come back? </v>
          </cell>
          <cell r="J62" t="str">
            <v>Are we missing some indication on how to fill out, hours and/or minutes? Imane</v>
          </cell>
          <cell r="K62" t="str">
            <v>Number of hours........................ __ __
Number of minutes.................... __ __
Does not know/unsure ....................98</v>
          </cell>
          <cell r="L62" t="str">
            <v>check THE HINT: 
If Hours unknown or respondant is unsure enter 98
If Minutes unknown, or respondant is unsure, enter 98</v>
          </cell>
          <cell r="M62" t="str">
            <v>CHECK MISSING VALUES
"Don’t know"should be 98 for Hours
"Don’t know"should be 98 for Minutes</v>
          </cell>
          <cell r="N62" t="str">
            <v>Range</v>
          </cell>
          <cell r="O62" t="str">
            <v>Range</v>
          </cell>
          <cell r="R62" t="str">
            <v>Condition 1.
If 'number of hours' has values, they (should be &gt;=0  &amp;  &lt;=15) or (be=98)
Condition 2. 
If 'number of minutes' has values, they should (be &gt;= 0 &amp; =&lt; 59) (be=98)</v>
          </cell>
          <cell r="S62" t="str">
            <v xml:space="preserve">Condition 1.
NUMBER OF HOURS SHOULD AT LEAST BE ZERO. PLEASE CHECK
Condition 2.
NUMBER OF MINUTES SHOULD BE UP TO 59. PLEASE CHECK
</v>
          </cell>
          <cell r="T62" t="str">
            <v>new</v>
          </cell>
          <cell r="V62" t="str">
            <v>validation changed, to include missing values in Conditions</v>
          </cell>
          <cell r="W62" t="str">
            <v xml:space="preserve">Done </v>
          </cell>
        </row>
        <row r="63">
          <cell r="F63" t="str">
            <v>HHT02</v>
          </cell>
          <cell r="G63">
            <v>2</v>
          </cell>
          <cell r="H63" t="str">
            <v>OI</v>
          </cell>
          <cell r="I63" t="str">
            <v>In the last 12 months while living in [host country], during how many months did you use a heating device  or fire to keep the dwelling/living quarters warm?</v>
          </cell>
          <cell r="K63" t="str">
            <v>Number of months  _ _</v>
          </cell>
          <cell r="L63" t="str">
            <v>no changes needed</v>
          </cell>
          <cell r="M63" t="str">
            <v>no changes needed</v>
          </cell>
          <cell r="N63" t="str">
            <v>Range</v>
          </cell>
          <cell r="R63" t="str">
            <v>Number of months' should be &gt;= 0 &amp; =&lt; 12</v>
          </cell>
          <cell r="S63" t="str">
            <v>NUMBER OF MONTHS SHOULD BE BETWEEN 0 AND 12. PLEASE CHECK</v>
          </cell>
          <cell r="T63" t="str">
            <v>New</v>
          </cell>
          <cell r="W63" t="str">
            <v>Done</v>
          </cell>
        </row>
        <row r="64">
          <cell r="F64" t="str">
            <v>HHT03</v>
          </cell>
          <cell r="G64">
            <v>1</v>
          </cell>
          <cell r="H64" t="str">
            <v>OI</v>
          </cell>
          <cell r="I64" t="str">
            <v>How many space heaters, or heating devices including cookstoves and open fires, are used in or around the dwelling to produce heat at any time during the year?</v>
          </cell>
          <cell r="K64" t="str">
            <v xml:space="preserve">Number of
 heaters _ _
</v>
          </cell>
          <cell r="L64" t="str">
            <v>no changes needed</v>
          </cell>
          <cell r="M64" t="str">
            <v>no changes needed</v>
          </cell>
          <cell r="N64" t="str">
            <v>Range</v>
          </cell>
          <cell r="R64" t="str">
            <v>Number of heaters' should be &gt;= 0 &amp; &lt;= 15</v>
          </cell>
          <cell r="S64" t="str">
            <v>NUMBER OF HEATERS SEEMS TOO LOW. PLEASE CHECK</v>
          </cell>
          <cell r="T64" t="str">
            <v>New</v>
          </cell>
          <cell r="W64" t="str">
            <v>Done</v>
          </cell>
        </row>
        <row r="65">
          <cell r="F65" t="str">
            <v>HL02</v>
          </cell>
          <cell r="G65">
            <v>3</v>
          </cell>
          <cell r="H65" t="str">
            <v>OI</v>
          </cell>
          <cell r="I65" t="str">
            <v>How many different sources of light are used in the dwelling/ living quarters?</v>
          </cell>
          <cell r="K65" t="str">
            <v>Number of sources
of light _ _</v>
          </cell>
          <cell r="L65" t="str">
            <v>no changes needed</v>
          </cell>
          <cell r="M65" t="str">
            <v>no changes needed</v>
          </cell>
          <cell r="N65" t="str">
            <v>Range</v>
          </cell>
          <cell r="R65" t="str">
            <v>number…' should be &gt;=0 &amp; &lt;=15</v>
          </cell>
          <cell r="S65" t="str">
            <v>NUMBER OF LIGHT SOURCES SEEMS TOO LOW/TOO HIGH. PLEASE CHECK</v>
          </cell>
          <cell r="T65" t="str">
            <v>NEW</v>
          </cell>
          <cell r="W65" t="str">
            <v>Done</v>
          </cell>
        </row>
        <row r="66">
          <cell r="E66" t="str">
            <v>Assets_hh_cow</v>
          </cell>
          <cell r="F66" t="str">
            <v>Assets04a</v>
          </cell>
          <cell r="G66">
            <v>1</v>
          </cell>
          <cell r="H66" t="str">
            <v>OI</v>
          </cell>
          <cell r="I66" t="str">
            <v xml:space="preserve">Milk cows/bulls  </v>
          </cell>
          <cell r="K66" t="str">
            <v>Nb of cows/bulls:</v>
          </cell>
          <cell r="L66" t="str">
            <v xml:space="preserve">CHANGE THE HINT: 
If number is unknown enter 998
</v>
          </cell>
          <cell r="M66" t="str">
            <v xml:space="preserve">ADD MISSING VALUES
Don’t know should be 998
</v>
          </cell>
          <cell r="N66" t="str">
            <v>Range</v>
          </cell>
          <cell r="R66" t="str">
            <v>Number should be &gt;=0</v>
          </cell>
          <cell r="S66" t="str">
            <v>THIS NUMBER SHOULD BE AT LEAST ZERO. PLEASE CHECK</v>
          </cell>
          <cell r="V66" t="str">
            <v>NOT PENDANT ANYMORE</v>
          </cell>
          <cell r="W66" t="str">
            <v>Done</v>
          </cell>
        </row>
        <row r="67">
          <cell r="E67" t="str">
            <v>Assets_hh_catt</v>
          </cell>
          <cell r="F67" t="str">
            <v>Assets04b</v>
          </cell>
          <cell r="G67">
            <v>1</v>
          </cell>
          <cell r="H67" t="str">
            <v>OI</v>
          </cell>
          <cell r="I67" t="str">
            <v>Other cattle</v>
          </cell>
          <cell r="K67" t="str">
            <v>Nb of other cattle:</v>
          </cell>
          <cell r="N67" t="str">
            <v>Range</v>
          </cell>
          <cell r="R67" t="str">
            <v>Number should be &gt;=0</v>
          </cell>
          <cell r="S67" t="str">
            <v>THIS NUMBER SHOULD BE AT LEAST ZERO. PLEASE CHECK</v>
          </cell>
          <cell r="V67" t="str">
            <v>NOT PENDANT ANYMORE</v>
          </cell>
          <cell r="W67" t="str">
            <v>Done</v>
          </cell>
        </row>
        <row r="68">
          <cell r="E68" t="str">
            <v>Assets_hh_hdm</v>
          </cell>
          <cell r="F68" t="str">
            <v>Assets04c</v>
          </cell>
          <cell r="G68">
            <v>1</v>
          </cell>
          <cell r="H68" t="str">
            <v>OI</v>
          </cell>
          <cell r="I68" t="str">
            <v>Horses, donkeys, or mules</v>
          </cell>
          <cell r="K68" t="str">
            <v>Nb of horses/donkeys/mules:</v>
          </cell>
          <cell r="N68" t="str">
            <v>Range</v>
          </cell>
          <cell r="R68" t="str">
            <v>Number should be &gt;=0</v>
          </cell>
          <cell r="S68" t="str">
            <v>THIS NUMBER SHOULD BE AT LEAST ZERO. PLEASE CHECK</v>
          </cell>
          <cell r="V68" t="str">
            <v>NOT PENDANT ANYMORE</v>
          </cell>
          <cell r="W68" t="str">
            <v>Done</v>
          </cell>
        </row>
        <row r="69">
          <cell r="E69" t="str">
            <v>Assets_hh_goat</v>
          </cell>
          <cell r="F69" t="str">
            <v>Assets04d</v>
          </cell>
          <cell r="G69">
            <v>1</v>
          </cell>
          <cell r="H69" t="str">
            <v>OI</v>
          </cell>
          <cell r="I69" t="str">
            <v xml:space="preserve">Goats </v>
          </cell>
          <cell r="K69" t="str">
            <v>Nb of goats:</v>
          </cell>
          <cell r="N69" t="str">
            <v>Range</v>
          </cell>
          <cell r="R69" t="str">
            <v>Number should be &gt;=0</v>
          </cell>
          <cell r="S69" t="str">
            <v>THIS NUMBER SHOULD BE AT LEAST ZERO. PLEASE CHECK</v>
          </cell>
          <cell r="V69" t="str">
            <v>NOT PENDANT ANYMORE</v>
          </cell>
          <cell r="W69" t="str">
            <v>Done</v>
          </cell>
        </row>
        <row r="70">
          <cell r="E70" t="str">
            <v>Assets_hh_sheep</v>
          </cell>
          <cell r="F70" t="str">
            <v>Assets04e</v>
          </cell>
          <cell r="G70">
            <v>1</v>
          </cell>
          <cell r="H70" t="str">
            <v>OI</v>
          </cell>
          <cell r="I70" t="str">
            <v>Sheep</v>
          </cell>
          <cell r="K70" t="str">
            <v>Nb of sheep:</v>
          </cell>
          <cell r="N70" t="str">
            <v>Range</v>
          </cell>
          <cell r="R70" t="str">
            <v>Number should be &gt;=0</v>
          </cell>
          <cell r="S70" t="str">
            <v>THIS NUMBER SHOULD BE AT LEAST ZERO. PLEASE CHECK</v>
          </cell>
          <cell r="V70" t="str">
            <v>NOT PENDANT ANYMORE</v>
          </cell>
          <cell r="W70" t="str">
            <v>Done</v>
          </cell>
        </row>
        <row r="71">
          <cell r="E71" t="str">
            <v>Assets_hh_chick</v>
          </cell>
          <cell r="F71" t="str">
            <v>Assets04f</v>
          </cell>
          <cell r="G71">
            <v>1</v>
          </cell>
          <cell r="H71" t="str">
            <v>OI</v>
          </cell>
          <cell r="I71" t="str">
            <v>Chickens or other poultry</v>
          </cell>
          <cell r="K71" t="str">
            <v>Nb of chickens/other poultry:</v>
          </cell>
          <cell r="N71" t="str">
            <v>Range</v>
          </cell>
          <cell r="R71" t="str">
            <v>Number should be &gt;=0</v>
          </cell>
          <cell r="S71" t="str">
            <v>THIS NUMBER SHOULD BE AT LEAST ZERO. PLEASE CHECK</v>
          </cell>
          <cell r="V71" t="str">
            <v>NOT PENDANT ANYMORE</v>
          </cell>
          <cell r="W71" t="str">
            <v>Done</v>
          </cell>
        </row>
        <row r="72">
          <cell r="E72" t="str">
            <v>Assets_hh_pork</v>
          </cell>
          <cell r="F72" t="str">
            <v>Assets04g</v>
          </cell>
          <cell r="G72">
            <v>1</v>
          </cell>
          <cell r="H72" t="str">
            <v>OI</v>
          </cell>
          <cell r="I72" t="str">
            <v>Pigs</v>
          </cell>
          <cell r="K72" t="str">
            <v>Nb of pigs:</v>
          </cell>
          <cell r="N72" t="str">
            <v>Range</v>
          </cell>
          <cell r="R72" t="str">
            <v>Number should be &gt;=0</v>
          </cell>
          <cell r="S72" t="str">
            <v>THIS NUMBER SHOULD BE AT LEAST ZERO. PLEASE CHECK</v>
          </cell>
          <cell r="V72" t="str">
            <v>NOT PENDANT ANYMORE</v>
          </cell>
          <cell r="W72" t="str">
            <v>Done</v>
          </cell>
        </row>
        <row r="73">
          <cell r="E73" t="str">
            <v>Assets_hh_camel</v>
          </cell>
          <cell r="F73" t="str">
            <v>Assets04h</v>
          </cell>
          <cell r="G73">
            <v>1</v>
          </cell>
          <cell r="H73" t="str">
            <v>OI</v>
          </cell>
          <cell r="I73" t="str">
            <v>Camels</v>
          </cell>
          <cell r="K73" t="str">
            <v>Nb of camels:</v>
          </cell>
          <cell r="N73" t="str">
            <v>Range</v>
          </cell>
          <cell r="R73" t="str">
            <v>Number should be &gt;=0</v>
          </cell>
          <cell r="S73" t="str">
            <v>THIS NUMBER SHOULD BE AT LEAST ZERO. PLEASE CHECK</v>
          </cell>
          <cell r="V73" t="str">
            <v>NOT PENDANT ANYMORE</v>
          </cell>
          <cell r="W73" t="str">
            <v>Done</v>
          </cell>
        </row>
        <row r="74">
          <cell r="E74" t="str">
            <v>Land_plot_use</v>
          </cell>
          <cell r="F74" t="str">
            <v>Land09</v>
          </cell>
          <cell r="G74">
            <v>1</v>
          </cell>
          <cell r="H74" t="str">
            <v>MS</v>
          </cell>
          <cell r="I74" t="str">
            <v>What is (are) the current use(s) of [plot name]?</v>
          </cell>
          <cell r="J74" t="str">
            <v>Mark all that apply.</v>
          </cell>
          <cell r="K74" t="str">
            <v>A. Residential
B.Agricultural /horticulture 
C. Pastoral 
D. Forest
E.Business /commercial 
F. Rented out 
OT.Other: specify 
DK. Don’t know 
RF. Refuse to answer</v>
          </cell>
          <cell r="N74" t="str">
            <v>MS 
(If DK or RF are selected)</v>
          </cell>
          <cell r="R74" t="str">
            <v>Condition 1.
If "DK" OR "RF" are selected, then no other response should be selected at the same time</v>
          </cell>
          <cell r="S74" t="str">
            <v xml:space="preserve">Conditon 1.
THE COMBINATION OF ANSWERS YOU HAVE CHOSEN IS NOT POSSIBLE. PLEASE CHECK
</v>
          </cell>
          <cell r="T74" t="str">
            <v>Condition 1.
LSMS 2015 (Both for validation and message)</v>
          </cell>
          <cell r="W74" t="str">
            <v>Done</v>
          </cell>
        </row>
        <row r="75">
          <cell r="E75" t="str">
            <v>Land_plot_doc</v>
          </cell>
          <cell r="F75" t="str">
            <v>Land12a</v>
          </cell>
          <cell r="G75">
            <v>3</v>
          </cell>
          <cell r="H75" t="str">
            <v>MS</v>
          </cell>
          <cell r="I75" t="str">
            <v xml:space="preserve">What type of documents does your household have for [plot name]?  </v>
          </cell>
          <cell r="J75" t="str">
            <v xml:space="preserve">Mark up to 3 documents. </v>
          </cell>
          <cell r="K75" t="str">
            <v>CERTIFICATES
A. certificate of customary ownership 
B. certificate of occupancy 
C. certificate of hereditary acquisition listed in registry
RENTAL CONTRACT/LEASE  
D. rental contract registered 
E. rental contract unregistered 
F. lease registered
OTHER DOCUMENTS
G. title deed
H. survey plan  
I. note on a sharecropping arrangement 
OT.Other: specify 
DK.Don’t know 
RF. Refuse to answer</v>
          </cell>
          <cell r="N75" t="str">
            <v>MS 
(If DK or RF are selected)</v>
          </cell>
          <cell r="O75" t="str">
            <v>MS 
(up to 3 responses)</v>
          </cell>
          <cell r="R75" t="str">
            <v>Condition 1.
If "DK" OR "RF" are selected, then no other response should be selected at the same time
Condition 2.
If neither "DK" NOR "RF" are selected, number of selected responses should be &gt;=1 &amp; =&lt; 3</v>
          </cell>
          <cell r="S75" t="str">
            <v>Conditon 1.
THE COMBINATION OF ANSWERS YOU HAVE CHOSEN IS NOT POSSIBLE. PLEASE CHECK
Condition 2.
YOU CAN ONLY SELECT UP TO 3 RESPONSES. PLEASE CHECK</v>
          </cell>
          <cell r="T75" t="str">
            <v>Condition 1.
LSMS 2015 (Both for validation and message)
Condition 2.
New</v>
          </cell>
          <cell r="W75" t="str">
            <v>Done</v>
          </cell>
        </row>
        <row r="76">
          <cell r="E76" t="str">
            <v>Land_plot_d3who</v>
          </cell>
          <cell r="F76" t="str">
            <v>Land24</v>
          </cell>
          <cell r="G76">
            <v>3</v>
          </cell>
          <cell r="H76" t="str">
            <v>MS</v>
          </cell>
          <cell r="I76" t="str">
            <v>Who was involved ?</v>
          </cell>
          <cell r="J76" t="str">
            <v>we are mising an indication:"mark all that apply"?</v>
          </cell>
          <cell r="K76" t="str">
            <v>A. a community of elders 
B.  a leader from your own refugee community 
C. a religious leader 
D. the local council/village leader 
E. a clan leader 
F. a court of justice 
OT. Other : specify 
DK. Don’t know 
RF. Refuse to answer</v>
          </cell>
          <cell r="N76" t="str">
            <v>MS 
(If DK or RF are selected)</v>
          </cell>
          <cell r="R76" t="str">
            <v xml:space="preserve">Condition 1.
If "DK" OR "RF" are selected, then no other response should be selected at the same time </v>
          </cell>
          <cell r="S76" t="str">
            <v>Condition 1.
THE COMBINATION OF ANSWERS YOU HAVE CHOSEN IS NOT POSSIBLE. PLEASE CHECK</v>
          </cell>
          <cell r="T76" t="str">
            <v>Condition 1.
LSMS 2015 (Both for validation and message)</v>
          </cell>
        </row>
        <row r="77">
          <cell r="E77" t="str">
            <v>House_doc</v>
          </cell>
          <cell r="F77" t="str">
            <v>House06</v>
          </cell>
          <cell r="G77">
            <v>3</v>
          </cell>
          <cell r="H77" t="str">
            <v>MS</v>
          </cell>
          <cell r="I77" t="str">
            <v xml:space="preserve">What type of documents does your household have for the housing you live in?  </v>
          </cell>
          <cell r="J77" t="str">
            <v>we are mising an indication:"mark all that apply"?</v>
          </cell>
          <cell r="K77" t="str">
            <v>CERTIFICATES
A. certificate of customary ownership 
B. certificate of occupancy 
C. certificate of hereditary acquisition listed in registry
RENTAL CONTRACT/LEASE  
D. rental contract registered 
E. rental contract unregistered 
F. lease registered
OTHER DOCUMENTS
G. title deed
H. survey plan  
OT.Other: specify 
DK.Don’t know 
RF. Refuse to answer</v>
          </cell>
          <cell r="N77" t="str">
            <v>MS 
(If DK or RF are selected)</v>
          </cell>
          <cell r="R77" t="str">
            <v>Condition 1.
If "DK" OR "RF" are selected, then no other response should be selected at the same time 
Condition 2.
If neither "DK" NOR "RF" are selected, number of selected responses should be &gt;=1 &amp; =&lt; 3</v>
          </cell>
          <cell r="S77" t="str">
            <v xml:space="preserve">Condition 1.
THE COMBINATION OF ANSWERS YOU HAVE CHOSEN IS NOT POSSIBLE. PLEASE CHECK
Condition 2.
YOU CAN ONLY SELECT UP TO 3 RESPONSES. PLEASE CHECK
</v>
          </cell>
          <cell r="T77" t="str">
            <v>Condition 1.
LSMS 2015 (Both for validation and message)</v>
          </cell>
          <cell r="W77" t="str">
            <v>Done</v>
          </cell>
        </row>
        <row r="78">
          <cell r="E78" t="str">
            <v>House_rlenght</v>
          </cell>
          <cell r="F78" t="str">
            <v>House17</v>
          </cell>
          <cell r="G78">
            <v>3</v>
          </cell>
          <cell r="H78" t="str">
            <v>OI</v>
          </cell>
          <cell r="I78" t="str">
            <v>To the best of your knowledge, how long is the period covered by one rental payment?</v>
          </cell>
          <cell r="K78" t="str">
            <v xml:space="preserve"> NB of [days/weeks/months]: 
ADD Don’t know 998
</v>
          </cell>
          <cell r="L78" t="str">
            <v>ADD HINT
If Number unknown enter 998</v>
          </cell>
          <cell r="M78" t="str">
            <v>Code for Don’t know if 998</v>
          </cell>
          <cell r="N78" t="str">
            <v xml:space="preserve">Range - INTER-QUESTION 
within same Module
</v>
          </cell>
          <cell r="O78" t="str">
            <v xml:space="preserve">Range - INTER-QUESTION 
within same Module
</v>
          </cell>
          <cell r="P78" t="str">
            <v xml:space="preserve">Range - INTER-QUESTION 
within same Module
</v>
          </cell>
          <cell r="R78" t="str">
            <v>Condition 1.
If code 1 in House_runit, then Number should (be &gt;0 and  =&lt; 365) OR BE=998
Condition 2.
If code 2 in House_runit, then (Number should be &gt;0 and =&lt; 52) OR (BE=998)
Condition 3.
If code 3 in House_runit, then (Number should be &gt;0 and =&lt; 12) OR BE=998</v>
          </cell>
          <cell r="S78" t="str">
            <v xml:space="preserve">Condition 1, 2 &amp; 3.
CONSIDERING  THE ANSWER TO PREVIOUS QUESTION, THIS NUMBER SEEMS TOO LOW/HIGH. PLEASE CHECK
</v>
          </cell>
          <cell r="V78" t="str">
            <v>I am considering a rental payment of one year as maximum.</v>
          </cell>
          <cell r="W78" t="str">
            <v>Done</v>
          </cell>
        </row>
        <row r="79">
          <cell r="E79" t="str">
            <v>House_rinc</v>
          </cell>
          <cell r="F79" t="str">
            <v>House18a</v>
          </cell>
          <cell r="G79">
            <v>3</v>
          </cell>
          <cell r="H79" t="str">
            <v>OI</v>
          </cell>
          <cell r="I79" t="str">
            <v>Approximately, what percentage of your household monthly total income does one rental payment represent?</v>
          </cell>
          <cell r="K79" t="str">
            <v>Percentage: 
-98.  Don’t know
Change -98 to 998</v>
          </cell>
          <cell r="L79" t="str">
            <v xml:space="preserve">CHANGE THE HINT: 
If Percentage is unknown enter 998
</v>
          </cell>
          <cell r="M79" t="str">
            <v xml:space="preserve">RECODE MISSING VALUES
'Don't know'  should be 998 </v>
          </cell>
          <cell r="N79" t="str">
            <v>Range</v>
          </cell>
          <cell r="R79" t="str">
            <v>Percentage' (should be &gt;= 0 &amp; =&lt; 100) OR (be = 998)</v>
          </cell>
          <cell r="S79" t="str">
            <v>THE PERCENTAGE SHOULD BE BETWEEN 0 AND 100. PLEASE CHECK</v>
          </cell>
          <cell r="T79" t="str">
            <v>new</v>
          </cell>
          <cell r="W79" t="str">
            <v>Done</v>
          </cell>
        </row>
        <row r="80">
          <cell r="E80" t="str">
            <v>House_rwork</v>
          </cell>
          <cell r="F80" t="str">
            <v>House18b</v>
          </cell>
          <cell r="G80">
            <v>3</v>
          </cell>
          <cell r="H80" t="str">
            <v>OI</v>
          </cell>
          <cell r="I80" t="str">
            <v xml:space="preserve">Approximately for how many days you and other members of your household  have to work to cover one rental payment? </v>
          </cell>
          <cell r="K80" t="str">
            <v>Nb of working days:
ADD a Don’t know 998</v>
          </cell>
          <cell r="L80" t="str">
            <v>ADD HINT: 
If Number is unknown enter 998</v>
          </cell>
          <cell r="M80" t="str">
            <v>ADD MISSING VALUES
'Don't know' should be 998</v>
          </cell>
          <cell r="N80" t="str">
            <v>Range</v>
          </cell>
          <cell r="R80" t="str">
            <v>Number should (be &gt;= 0 &amp; =&lt;365) or (BE=998)</v>
          </cell>
          <cell r="S80" t="str">
            <v>NUMBER OF DAYS SEEMS TOO LOW/HIGH. PLEASE CHECK</v>
          </cell>
          <cell r="T80" t="str">
            <v>new</v>
          </cell>
          <cell r="W80" t="str">
            <v>DOne</v>
          </cell>
        </row>
        <row r="81">
          <cell r="E81" t="str">
            <v>House_atype</v>
          </cell>
          <cell r="F81" t="str">
            <v>House20</v>
          </cell>
          <cell r="G81">
            <v>1</v>
          </cell>
          <cell r="H81" t="str">
            <v>MS</v>
          </cell>
          <cell r="I81" t="str">
            <v xml:space="preserve">From whom do you or any member of your household get this assistance? </v>
          </cell>
          <cell r="J81" t="str">
            <v>we are mising an indication:"mark all that apply"?</v>
          </cell>
          <cell r="K81" t="str">
            <v>A. cash for rent programme 
B. any other programme from NGOs 
C. subsidized state housing 
D. remittances from family, friends, or any relatives 
OT. Other: specify 
DK. Don’t know 
RF. Refuse to answer</v>
          </cell>
          <cell r="N81" t="str">
            <v>MS 
(If DK or RF are selected)</v>
          </cell>
          <cell r="R81" t="str">
            <v xml:space="preserve">Condition 1.
If "DK" OR "RF" are selected, then no other response should be selected at the same time </v>
          </cell>
          <cell r="S81" t="str">
            <v>Condition 1.
THE COMBINATION OF ANSWERS YOU HAVE CHOSEN IS NOT POSSIBLE. PLEASE CHECK</v>
          </cell>
          <cell r="T81" t="str">
            <v>Condition 1.
LSMS 2015 (Both for validation and message)</v>
          </cell>
          <cell r="W81" t="str">
            <v>Done</v>
          </cell>
        </row>
        <row r="82">
          <cell r="E82" t="str">
            <v>House_asuf</v>
          </cell>
          <cell r="F82" t="str">
            <v>House21</v>
          </cell>
          <cell r="G82">
            <v>2</v>
          </cell>
          <cell r="H82" t="str">
            <v>SS
should it say "MS'? Doesn’t seem like</v>
          </cell>
          <cell r="I82" t="str">
            <v xml:space="preserve">Is this assistance sufficient to cover the entire rent, more than half, about half or less than half of the rent? </v>
          </cell>
          <cell r="J82" t="str">
            <v>Mark all that apply
This was in yellow, but if question is SS then we don’t need this indication</v>
          </cell>
          <cell r="K82" t="str">
            <v>1. entire amount 
2. more than half 
3. about half 
4. less than half 
98. Don’t know 
99. Refuse to answer</v>
          </cell>
          <cell r="R82" t="str">
            <v>No validation needed</v>
          </cell>
          <cell r="W82" t="str">
            <v>Done</v>
          </cell>
        </row>
        <row r="83">
          <cell r="E83" t="str">
            <v>Food_sec1_freq7</v>
          </cell>
          <cell r="F83" t="str">
            <v>Food01c</v>
          </cell>
          <cell r="G83">
            <v>1</v>
          </cell>
          <cell r="H83" t="str">
            <v>OI</v>
          </cell>
          <cell r="I83" t="str">
            <v>During the past 7 days, how many days did you worry that your household would not have enough food or money for food?</v>
          </cell>
          <cell r="K83" t="str">
            <v>Number of days:</v>
          </cell>
          <cell r="N83" t="str">
            <v>Range</v>
          </cell>
          <cell r="R83" t="str">
            <v xml:space="preserve">number..' should be &gt;0 &amp;=&lt; 7 </v>
          </cell>
          <cell r="S83" t="str">
            <v>NUMBER SEEMS TOO LOW/HIGH. PLEASE CHECK</v>
          </cell>
          <cell r="T83" t="str">
            <v>NEW</v>
          </cell>
          <cell r="V83" t="str">
            <v>NOT PENDANT ANYMORE</v>
          </cell>
          <cell r="W83" t="str">
            <v>Done</v>
          </cell>
        </row>
        <row r="84">
          <cell r="E84" t="str">
            <v>Food_sec2_freq7</v>
          </cell>
          <cell r="F84" t="str">
            <v>Food02c</v>
          </cell>
          <cell r="G84">
            <v>1</v>
          </cell>
          <cell r="H84" t="str">
            <v>OI</v>
          </cell>
          <cell r="I84" t="str">
            <v xml:space="preserve">During the past 7 days, how many days did you or any household member have to eat less preferred and less expensive foods?   </v>
          </cell>
          <cell r="K84" t="str">
            <v>Number of days:</v>
          </cell>
          <cell r="N84" t="str">
            <v>Range</v>
          </cell>
          <cell r="R84" t="str">
            <v xml:space="preserve">number..' should be &gt;0 &amp;=&lt; 7 </v>
          </cell>
          <cell r="S84" t="str">
            <v>NUMBER SEEMS TOO LOW/HIGH. PLEASE CHECK</v>
          </cell>
          <cell r="T84" t="str">
            <v>NEW</v>
          </cell>
          <cell r="V84" t="str">
            <v>NOT PENDANT ANYMORE</v>
          </cell>
          <cell r="W84" t="str">
            <v>Done</v>
          </cell>
        </row>
        <row r="85">
          <cell r="E85" t="str">
            <v>Food_sec3_freq7</v>
          </cell>
          <cell r="F85" t="str">
            <v>Food03c</v>
          </cell>
          <cell r="G85">
            <v>1</v>
          </cell>
          <cell r="H85" t="str">
            <v>OI</v>
          </cell>
          <cell r="I85" t="str">
            <v xml:space="preserve">During the past 7 days, how many days did you or any household member have to eat a limited variety of foods ?   </v>
          </cell>
          <cell r="K85" t="str">
            <v>Number of days:</v>
          </cell>
          <cell r="N85" t="str">
            <v>Range</v>
          </cell>
          <cell r="R85" t="str">
            <v xml:space="preserve">number..' should be &gt;0 &amp;=&lt; 7 </v>
          </cell>
          <cell r="S85" t="str">
            <v>NUMBER SEEMS TOO LOW/HIGH. PLEASE CHECK</v>
          </cell>
          <cell r="T85" t="str">
            <v>NEW</v>
          </cell>
          <cell r="V85" t="str">
            <v>NOT PENDANT ANYMORE</v>
          </cell>
          <cell r="W85" t="str">
            <v>Done</v>
          </cell>
        </row>
        <row r="86">
          <cell r="E86" t="str">
            <v>Food_sec4_freq7</v>
          </cell>
          <cell r="F86" t="str">
            <v>Food04c</v>
          </cell>
          <cell r="G86">
            <v>1</v>
          </cell>
          <cell r="H86" t="str">
            <v>OI</v>
          </cell>
          <cell r="I86" t="str">
            <v xml:space="preserve">During the past 7 days, how many days did you or any household member have to eat some foods that you really did not want to eat?   </v>
          </cell>
          <cell r="K86" t="str">
            <v>Number of days:</v>
          </cell>
          <cell r="N86" t="str">
            <v>Range</v>
          </cell>
          <cell r="R86" t="str">
            <v xml:space="preserve">number..' should be &gt;0 &amp;=&lt; 7 </v>
          </cell>
          <cell r="S86" t="str">
            <v>NUMBER SEEMS TOO LOW/HIGH. PLEASE CHECK</v>
          </cell>
          <cell r="T86" t="str">
            <v>NEW</v>
          </cell>
          <cell r="V86" t="str">
            <v>NOT PENDANT ANYMORE</v>
          </cell>
          <cell r="W86" t="str">
            <v>Done</v>
          </cell>
        </row>
        <row r="87">
          <cell r="E87" t="str">
            <v>Food_sec5_freq7</v>
          </cell>
          <cell r="F87" t="str">
            <v>Food05c</v>
          </cell>
          <cell r="G87">
            <v>1</v>
          </cell>
          <cell r="H87" t="str">
            <v>OI</v>
          </cell>
          <cell r="I87" t="str">
            <v xml:space="preserve">During the past 7 days, how many days did your household had to borrow food or rely on help from a relative or friend to get more food or money to buy food?   </v>
          </cell>
          <cell r="K87" t="str">
            <v>Number of days:</v>
          </cell>
          <cell r="N87" t="str">
            <v>Range</v>
          </cell>
          <cell r="R87" t="str">
            <v xml:space="preserve">number..' should be &gt;0 &amp;=&lt; 7 </v>
          </cell>
          <cell r="S87" t="str">
            <v>NUMBER SEEMS TOO LOW/HIGH. PLEASE CHECK</v>
          </cell>
          <cell r="T87" t="str">
            <v>NEW</v>
          </cell>
          <cell r="V87" t="str">
            <v>NOT PENDANT ANYMORE</v>
          </cell>
          <cell r="W87" t="str">
            <v>Done</v>
          </cell>
        </row>
        <row r="88">
          <cell r="E88" t="str">
            <v>Food_sec6_freq7</v>
          </cell>
          <cell r="F88" t="str">
            <v>Food06c</v>
          </cell>
          <cell r="G88">
            <v>1</v>
          </cell>
          <cell r="H88" t="str">
            <v>OI</v>
          </cell>
          <cell r="I88" t="str">
            <v xml:space="preserve">During the past 7 days, how many days did you or any household member have to eat a smaller meal than you felt you needed ?   </v>
          </cell>
          <cell r="K88" t="str">
            <v>Number of days:</v>
          </cell>
          <cell r="N88" t="str">
            <v>Range</v>
          </cell>
          <cell r="R88" t="str">
            <v xml:space="preserve">number..' should be &gt;0 &amp;=&lt; 7 </v>
          </cell>
          <cell r="S88" t="str">
            <v>NUMBER SEEMS TOO LOW/HIGH. PLEASE CHECK</v>
          </cell>
          <cell r="T88" t="str">
            <v>NEW</v>
          </cell>
          <cell r="V88" t="str">
            <v>NOT PENDANT ANYMORE</v>
          </cell>
          <cell r="W88" t="str">
            <v>Done</v>
          </cell>
        </row>
        <row r="89">
          <cell r="E89" t="str">
            <v>Food_sec7_freq7</v>
          </cell>
          <cell r="F89" t="str">
            <v>Food07c</v>
          </cell>
          <cell r="G89">
            <v>1</v>
          </cell>
          <cell r="H89" t="str">
            <v>OI</v>
          </cell>
          <cell r="I89" t="str">
            <v xml:space="preserve">During the past 7 days, how many days did the adults in your household had to eat less in order to have more food for children under 5?   </v>
          </cell>
          <cell r="K89" t="str">
            <v>Number of days:</v>
          </cell>
          <cell r="N89" t="str">
            <v>Range</v>
          </cell>
          <cell r="R89" t="str">
            <v xml:space="preserve">number..' should be &gt;0 &amp;=&lt; 7 </v>
          </cell>
          <cell r="S89" t="str">
            <v>NUMBER SEEMS TOO LOW/HIGH. PLEASE CHECK</v>
          </cell>
          <cell r="T89" t="str">
            <v>NEW</v>
          </cell>
          <cell r="V89" t="str">
            <v>NOT PENDANT ANYMORE</v>
          </cell>
          <cell r="W89" t="str">
            <v>Done</v>
          </cell>
        </row>
        <row r="90">
          <cell r="E90" t="str">
            <v>Food_sec8_freq7</v>
          </cell>
          <cell r="F90" t="str">
            <v>Food08c</v>
          </cell>
          <cell r="G90">
            <v>1</v>
          </cell>
          <cell r="H90" t="str">
            <v>OI</v>
          </cell>
          <cell r="I90" t="str">
            <v xml:space="preserve">During the past 7 days, how many days did you or any household member have to eat fewer meals in a day?   </v>
          </cell>
          <cell r="K90" t="str">
            <v>Number of days:</v>
          </cell>
          <cell r="N90" t="str">
            <v>Range</v>
          </cell>
          <cell r="R90" t="str">
            <v xml:space="preserve">number..' should be &gt;0 &amp;=&lt; 7 </v>
          </cell>
          <cell r="S90" t="str">
            <v>NUMBER SEEMS TOO LOW/HIGH. PLEASE CHECK</v>
          </cell>
          <cell r="T90" t="str">
            <v>NEW</v>
          </cell>
          <cell r="V90" t="str">
            <v>NOT PENDANT ANYMORE</v>
          </cell>
          <cell r="W90" t="str">
            <v>Done</v>
          </cell>
        </row>
        <row r="91">
          <cell r="E91" t="str">
            <v>Food_sec9_freq7</v>
          </cell>
          <cell r="F91" t="str">
            <v>Food09c</v>
          </cell>
          <cell r="G91">
            <v>1</v>
          </cell>
          <cell r="H91" t="str">
            <v>OI</v>
          </cell>
          <cell r="I91" t="str">
            <v xml:space="preserve">During the past 7 days, how many days was there no food to eat of any kind in your household ?   </v>
          </cell>
          <cell r="K91" t="str">
            <v>Number of days:</v>
          </cell>
          <cell r="N91" t="str">
            <v>Range</v>
          </cell>
          <cell r="R91" t="str">
            <v xml:space="preserve">number..' should be &gt;0 &amp;=&lt; 7 </v>
          </cell>
          <cell r="S91" t="str">
            <v>NUMBER SEEMS TOO LOW/HIGH. PLEASE CHECK</v>
          </cell>
          <cell r="T91" t="str">
            <v>NEW</v>
          </cell>
          <cell r="V91" t="str">
            <v>NOT PENDANT ANYMORE</v>
          </cell>
          <cell r="W91" t="str">
            <v>Done</v>
          </cell>
        </row>
        <row r="92">
          <cell r="E92" t="str">
            <v>Food_sec10_freq7</v>
          </cell>
          <cell r="F92" t="str">
            <v>Food10c</v>
          </cell>
          <cell r="G92">
            <v>1</v>
          </cell>
          <cell r="H92" t="str">
            <v>OI</v>
          </cell>
          <cell r="I92" t="str">
            <v xml:space="preserve">During the past 7 days, how many days did you or any household member go to sleep at night hungry?   </v>
          </cell>
          <cell r="K92" t="str">
            <v>Number of days:</v>
          </cell>
          <cell r="N92" t="str">
            <v>Range</v>
          </cell>
          <cell r="R92" t="str">
            <v xml:space="preserve">number..' should be &gt;0 &amp;=&lt; 7 </v>
          </cell>
          <cell r="S92" t="str">
            <v>NUMBER SEEMS TOO LOW/HIGH. PLEASE CHECK</v>
          </cell>
          <cell r="T92" t="str">
            <v>NEW</v>
          </cell>
          <cell r="V92" t="str">
            <v>NOT PENDANT ANYMORE</v>
          </cell>
          <cell r="W92" t="str">
            <v>Done</v>
          </cell>
        </row>
        <row r="93">
          <cell r="E93" t="str">
            <v>Food_sec11_freq7</v>
          </cell>
          <cell r="F93" t="str">
            <v>Food11c</v>
          </cell>
          <cell r="G93">
            <v>1</v>
          </cell>
          <cell r="H93" t="str">
            <v>OI</v>
          </cell>
          <cell r="I93" t="str">
            <v xml:space="preserve">During the past 7 days, how many days did you or any household member go a whole day and night without eating anything?   </v>
          </cell>
          <cell r="K93" t="str">
            <v>Number of days:</v>
          </cell>
          <cell r="N93" t="str">
            <v>Range</v>
          </cell>
          <cell r="R93" t="str">
            <v xml:space="preserve">number..' should be &gt;0 &amp;=&lt; 7 </v>
          </cell>
          <cell r="S93" t="str">
            <v>NUMBER SEEMS TOO LOW/HIGH. PLEASE CHECK</v>
          </cell>
          <cell r="T93" t="str">
            <v>NEW</v>
          </cell>
          <cell r="V93" t="str">
            <v>NOT PENDANT ANYMORE</v>
          </cell>
          <cell r="W93" t="str">
            <v>Done</v>
          </cell>
        </row>
        <row r="94">
          <cell r="E94" t="str">
            <v>Food_div1</v>
          </cell>
          <cell r="F94" t="str">
            <v>Food11a</v>
          </cell>
          <cell r="G94">
            <v>1</v>
          </cell>
          <cell r="H94" t="str">
            <v>OI</v>
          </cell>
          <cell r="I94" t="str">
            <v>How many days over the past 7 days, did most members of your household, more than half of them, eat the following food items:    Cereals, grains, roots and tubers Rice, pasta, bread, sorghum, millet, maize, potato, yam, cassava, white sweet potato</v>
          </cell>
          <cell r="J94" t="str">
            <v>Write 0 if not consumed in past 7 days</v>
          </cell>
          <cell r="K94" t="str">
            <v>Nb of days:</v>
          </cell>
          <cell r="N94" t="str">
            <v>Range</v>
          </cell>
          <cell r="R94" t="str">
            <v>number..' should be &gt;=0 &amp;=&lt; 7</v>
          </cell>
          <cell r="S94" t="str">
            <v>NUMBER SEEMS TOO LOW/HIGH. PLEASE CHECK</v>
          </cell>
          <cell r="T94" t="str">
            <v>NEW</v>
          </cell>
          <cell r="V94" t="str">
            <v>NOT PENDANT ANYMORE</v>
          </cell>
          <cell r="W94" t="str">
            <v>Done</v>
          </cell>
        </row>
        <row r="95">
          <cell r="E95" t="str">
            <v>Food_div2</v>
          </cell>
          <cell r="F95" t="str">
            <v>Food12a</v>
          </cell>
          <cell r="G95">
            <v>1</v>
          </cell>
          <cell r="H95" t="str">
            <v>OI</v>
          </cell>
          <cell r="I95" t="str">
            <v>How many days over the past 7 days, did most members of your household, more than half of them, eat the following food items:    Pulses/ legumes / nuts: beans, cowpeas, peanuts, lentils, nut, soy, pigeon pea and / or other nuts</v>
          </cell>
          <cell r="J95" t="str">
            <v>Write 0 if not consumed in past 7 days</v>
          </cell>
          <cell r="K95" t="str">
            <v>Nb of days:</v>
          </cell>
          <cell r="N95" t="str">
            <v>Range</v>
          </cell>
          <cell r="R95" t="str">
            <v>number..' should be &gt;=0 &amp;=&lt; 7</v>
          </cell>
          <cell r="S95" t="str">
            <v>NUMBER SEEMS TOO LOW/HIGH. PLEASE CHECK</v>
          </cell>
          <cell r="T95" t="str">
            <v>NEW</v>
          </cell>
          <cell r="V95" t="str">
            <v>NOT PENDANT ANYMORE</v>
          </cell>
          <cell r="W95" t="str">
            <v>Done</v>
          </cell>
        </row>
        <row r="96">
          <cell r="E96" t="str">
            <v>Food_div3</v>
          </cell>
          <cell r="F96" t="str">
            <v>Food13a</v>
          </cell>
          <cell r="G96">
            <v>1</v>
          </cell>
          <cell r="H96" t="str">
            <v>OI</v>
          </cell>
          <cell r="I96" t="str">
            <v xml:space="preserve">And what about:    Milk and other dairy products: fresh milk / sour, yogurt, cheese, other dairy products. Exclude margarine / butter or small amounts of milk for tea / coffee.  </v>
          </cell>
          <cell r="J96" t="str">
            <v>Write 0 if not consumed in past 7 days</v>
          </cell>
          <cell r="K96" t="str">
            <v>Nb of days:</v>
          </cell>
          <cell r="N96" t="str">
            <v>Range</v>
          </cell>
          <cell r="R96" t="str">
            <v>number..' should be &gt;=0 &amp;=&lt; 7</v>
          </cell>
          <cell r="S96" t="str">
            <v>NUMBER SEEMS TOO LOW/HIGH. PLEASE CHECK</v>
          </cell>
          <cell r="T96" t="str">
            <v>NEW</v>
          </cell>
          <cell r="V96" t="str">
            <v>NOT PENDANT ANYMORE</v>
          </cell>
          <cell r="W96" t="str">
            <v>Done</v>
          </cell>
        </row>
        <row r="97">
          <cell r="E97" t="str">
            <v>Food_div4</v>
          </cell>
          <cell r="F97" t="str">
            <v>Food14a</v>
          </cell>
          <cell r="G97">
            <v>1</v>
          </cell>
          <cell r="H97" t="str">
            <v>OI</v>
          </cell>
          <cell r="I97" t="str">
            <v>And what about:    Meat, fish and eggs:  goat, beef, chicken, pork, blood, fish, including canned tuna, escargot, and / or other seafood, eggs. Report ony meat and fish consumed in large quantities and not as a condiment.</v>
          </cell>
          <cell r="J97" t="str">
            <v>Write 0 if not consumed in past 7 days</v>
          </cell>
          <cell r="K97" t="str">
            <v>Nb of days:</v>
          </cell>
          <cell r="N97" t="str">
            <v>Range</v>
          </cell>
          <cell r="R97" t="str">
            <v>number..' should be &gt;=0 &amp;=&lt; 7</v>
          </cell>
          <cell r="S97" t="str">
            <v>NUMBER SEEMS TOO LOW/HIGH. PLEASE CHECK</v>
          </cell>
          <cell r="T97" t="str">
            <v>NEW</v>
          </cell>
          <cell r="V97" t="str">
            <v>NOT PENDANT ANYMORE</v>
          </cell>
          <cell r="W97" t="str">
            <v>Done</v>
          </cell>
        </row>
        <row r="98">
          <cell r="E98" t="str">
            <v>Food_div4.1</v>
          </cell>
          <cell r="F98" t="str">
            <v>Food14.1a</v>
          </cell>
          <cell r="G98">
            <v>1</v>
          </cell>
          <cell r="H98" t="str">
            <v>OI</v>
          </cell>
          <cell r="I98" t="str">
            <v>And What about    Flesh meat:  beef, pork, lamb, goat, rabbit, chicken, duck, other birds, insects</v>
          </cell>
          <cell r="J98" t="str">
            <v>Write 0 if not consumed in past 7 days</v>
          </cell>
          <cell r="K98" t="str">
            <v>Nb of days:</v>
          </cell>
          <cell r="N98" t="str">
            <v>Range</v>
          </cell>
          <cell r="R98" t="str">
            <v>number..' should be &gt;=0 &amp;=&lt; 7</v>
          </cell>
          <cell r="S98" t="str">
            <v>NUMBER SEEMS TOO LOW/HIGH. PLEASE CHECK</v>
          </cell>
          <cell r="T98" t="str">
            <v>NEW</v>
          </cell>
          <cell r="V98" t="str">
            <v>NOT PENDANT ANYMORE</v>
          </cell>
          <cell r="W98" t="str">
            <v>Done</v>
          </cell>
        </row>
        <row r="99">
          <cell r="E99" t="str">
            <v>Food_div4.2</v>
          </cell>
          <cell r="F99" t="str">
            <v>Food14.2a</v>
          </cell>
          <cell r="G99">
            <v>1</v>
          </cell>
          <cell r="H99" t="str">
            <v>OI</v>
          </cell>
          <cell r="I99" t="str">
            <v>How many days over the past 7 days, did most members of your household,more than half of them, eat the following food items:    Organ meat:  liver, kidney, heart and / or other organ meats</v>
          </cell>
          <cell r="J99" t="str">
            <v>Write 0 if not consumed in past 7 days</v>
          </cell>
          <cell r="K99" t="str">
            <v>Nb of days:</v>
          </cell>
          <cell r="N99" t="str">
            <v>Range</v>
          </cell>
          <cell r="R99" t="str">
            <v>number..' should be &gt;=0 &amp;=&lt; 7</v>
          </cell>
          <cell r="S99" t="str">
            <v>NUMBER SEEMS TOO LOW/HIGH. PLEASE CHECK</v>
          </cell>
          <cell r="T99" t="str">
            <v>NEW</v>
          </cell>
          <cell r="V99" t="str">
            <v>NOT PENDANT ANYMORE</v>
          </cell>
          <cell r="W99" t="str">
            <v>Done</v>
          </cell>
        </row>
        <row r="100">
          <cell r="E100" t="str">
            <v>Food_div4.3</v>
          </cell>
          <cell r="F100" t="str">
            <v>Food14.3a</v>
          </cell>
          <cell r="G100">
            <v>1</v>
          </cell>
          <cell r="H100" t="str">
            <v>OI</v>
          </cell>
          <cell r="I100" t="str">
            <v>And what about: Fish/shellfish:  fish, including canned tuna, escargot, and / or other seafood. Report only fish consumed in large quantities and not as a condiment.</v>
          </cell>
          <cell r="J100" t="str">
            <v>Write 0 if not consumed in past 7 days</v>
          </cell>
          <cell r="K100" t="str">
            <v>Nb of days:</v>
          </cell>
          <cell r="N100" t="str">
            <v>Range</v>
          </cell>
          <cell r="R100" t="str">
            <v>number..' should be &gt;=0 &amp; =&lt; 7</v>
          </cell>
          <cell r="S100" t="str">
            <v>NUMBER SEEMS TOO LOW/HIGH. PLEASE CHECK</v>
          </cell>
          <cell r="T100" t="str">
            <v>NEW</v>
          </cell>
          <cell r="V100" t="str">
            <v>NOT PENDANT ANYMORE</v>
          </cell>
          <cell r="W100" t="str">
            <v>Done</v>
          </cell>
        </row>
        <row r="101">
          <cell r="E101" t="str">
            <v>Food_div4.4</v>
          </cell>
          <cell r="F101" t="str">
            <v>Food14.4a</v>
          </cell>
          <cell r="G101">
            <v>1</v>
          </cell>
          <cell r="H101" t="str">
            <v>OI</v>
          </cell>
          <cell r="I101" t="str">
            <v>And what about: Eggs</v>
          </cell>
          <cell r="J101" t="str">
            <v>Write 0 if not consumed in past 7 days</v>
          </cell>
          <cell r="K101" t="str">
            <v>Nb of days:</v>
          </cell>
          <cell r="N101" t="str">
            <v>Range</v>
          </cell>
          <cell r="R101" t="str">
            <v>number..' should be &gt;=0 &amp; =&lt; 7</v>
          </cell>
          <cell r="S101" t="str">
            <v>NUMBER SEEMS TOO LOW/HIGH. PLEASE CHECK</v>
          </cell>
          <cell r="T101" t="str">
            <v>NEW</v>
          </cell>
          <cell r="V101" t="str">
            <v>NOT PENDANT ANYMORE</v>
          </cell>
          <cell r="W101" t="str">
            <v>Done</v>
          </cell>
        </row>
        <row r="102">
          <cell r="E102" t="str">
            <v>Food_div5</v>
          </cell>
          <cell r="F102" t="str">
            <v>Food15a</v>
          </cell>
          <cell r="G102">
            <v>1</v>
          </cell>
          <cell r="H102" t="str">
            <v>OI</v>
          </cell>
          <cell r="I102" t="str">
            <v>And what about: Vegetables and leaves: spinach, onion, tomatoes, carrots, peppers, green beans, lettuce, etc</v>
          </cell>
          <cell r="J102" t="str">
            <v>Write 0 if not consumed in past 7 days</v>
          </cell>
          <cell r="K102" t="str">
            <v>Nb of days:</v>
          </cell>
          <cell r="N102" t="str">
            <v>Range</v>
          </cell>
          <cell r="R102" t="str">
            <v>number..' should be &gt;=0 &amp; =&lt; 7</v>
          </cell>
          <cell r="S102" t="str">
            <v>NUMBER SEEMS TOO LOW/HIGH. PLEASE CHECK</v>
          </cell>
          <cell r="T102" t="str">
            <v>NEW</v>
          </cell>
          <cell r="V102" t="str">
            <v>NOT PENDANT ANYMORE</v>
          </cell>
          <cell r="W102" t="str">
            <v>Done</v>
          </cell>
        </row>
        <row r="103">
          <cell r="E103" t="str">
            <v>Food_div5.1</v>
          </cell>
          <cell r="F103" t="str">
            <v>Food15.1a</v>
          </cell>
          <cell r="G103">
            <v>1</v>
          </cell>
          <cell r="H103" t="str">
            <v>OI</v>
          </cell>
          <cell r="I103" t="str">
            <v>How many days over the past 7 days, did most members of your household, more than half of them, eat the following food items:    Orange vegetables, i.e. vegetables rich in Vitamin A: carrot, red pepper, pumpkin, orange sweet potatoes,</v>
          </cell>
          <cell r="J103" t="str">
            <v>Write 0 if not consumed in past 7 days</v>
          </cell>
          <cell r="K103" t="str">
            <v>Nb of days:</v>
          </cell>
          <cell r="N103" t="str">
            <v>Range</v>
          </cell>
          <cell r="R103" t="str">
            <v>number..' should be &gt;=0 &amp; =&lt; 7</v>
          </cell>
          <cell r="S103" t="str">
            <v>NUMBER SEEMS TOO LOW/HIGH. PLEASE CHECK</v>
          </cell>
          <cell r="T103" t="str">
            <v>NEW</v>
          </cell>
          <cell r="V103" t="str">
            <v>NOT PENDANT ANYMORE</v>
          </cell>
          <cell r="W103" t="str">
            <v>Done</v>
          </cell>
        </row>
        <row r="104">
          <cell r="E104" t="str">
            <v>Food_div5.2</v>
          </cell>
          <cell r="F104" t="str">
            <v>Food15.2a</v>
          </cell>
          <cell r="G104">
            <v>1</v>
          </cell>
          <cell r="H104" t="str">
            <v>OI</v>
          </cell>
          <cell r="I104" t="str">
            <v>And what about: Green leafy vegetables: spinach, broccoli, amaranth and / or other dark green leaves, cassava leaves</v>
          </cell>
          <cell r="J104" t="str">
            <v>Write 0 if not consumed in past 7 days</v>
          </cell>
          <cell r="K104" t="str">
            <v>Nb of days:</v>
          </cell>
          <cell r="N104" t="str">
            <v>Range</v>
          </cell>
          <cell r="R104" t="str">
            <v>number..' should be &gt;=0 &amp; =&lt; 7</v>
          </cell>
          <cell r="S104" t="str">
            <v>NUMBER SEEMS TOO LOW/HIGH. PLEASE CHECK</v>
          </cell>
          <cell r="T104" t="str">
            <v>NEW</v>
          </cell>
          <cell r="V104" t="str">
            <v>NOT PENDANT ANYMORE</v>
          </cell>
          <cell r="W104" t="str">
            <v>Done</v>
          </cell>
        </row>
        <row r="105">
          <cell r="E105" t="str">
            <v>Food_div6</v>
          </cell>
          <cell r="F105" t="str">
            <v>Food16a</v>
          </cell>
          <cell r="G105">
            <v>1</v>
          </cell>
          <cell r="H105" t="str">
            <v>OI</v>
          </cell>
          <cell r="I105" t="str">
            <v>And what about:Fruits: banana, apple, lemon, mango, papaya, apricot, peach, etc</v>
          </cell>
          <cell r="J105" t="str">
            <v>Write 0 if not consumed in past 7 days</v>
          </cell>
          <cell r="K105" t="str">
            <v>Nb of days:</v>
          </cell>
          <cell r="N105" t="str">
            <v>Range</v>
          </cell>
          <cell r="R105" t="str">
            <v>number..' should be &gt;=0 &amp; =&lt; 7</v>
          </cell>
          <cell r="S105" t="str">
            <v>NUMBER SEEMS TOO LOW/HIGH. PLEASE CHECK</v>
          </cell>
          <cell r="T105" t="str">
            <v>NEW</v>
          </cell>
          <cell r="V105" t="str">
            <v>NOT PENDANT ANYMORE</v>
          </cell>
          <cell r="W105" t="str">
            <v>Done</v>
          </cell>
        </row>
        <row r="106">
          <cell r="E106" t="str">
            <v>Food_div6.1</v>
          </cell>
          <cell r="F106" t="str">
            <v>Food16.1a</v>
          </cell>
          <cell r="G106">
            <v>1</v>
          </cell>
          <cell r="H106" t="str">
            <v>OI</v>
          </cell>
          <cell r="I106" t="str">
            <v>And what about:Orange fruits, i.e. fruits rich in Vitamin A: mango, papaya, apricot, peach</v>
          </cell>
          <cell r="J106" t="str">
            <v>Write 0 if not consumed in past 7 days</v>
          </cell>
          <cell r="K106" t="str">
            <v>Nb of days:</v>
          </cell>
          <cell r="N106" t="str">
            <v>Range</v>
          </cell>
          <cell r="R106" t="str">
            <v>number..' should be &gt;=0 &amp; =&lt; 7</v>
          </cell>
          <cell r="S106" t="str">
            <v>NUMBER SEEMS TOO LOW/HIGH. PLEASE CHECK</v>
          </cell>
          <cell r="T106" t="str">
            <v>NEW</v>
          </cell>
          <cell r="V106" t="str">
            <v>NOT PENDANT ANYMORE</v>
          </cell>
          <cell r="W106" t="str">
            <v>Done</v>
          </cell>
        </row>
        <row r="107">
          <cell r="E107" t="str">
            <v>Food_div7</v>
          </cell>
          <cell r="F107" t="str">
            <v>Food17a</v>
          </cell>
          <cell r="G107">
            <v>1</v>
          </cell>
          <cell r="H107" t="str">
            <v>OI</v>
          </cell>
          <cell r="I107" t="str">
            <v>How many days over the past 7 days, did most members of your household, more than half of them, eat the following food items:    Oil / fat / butter: vegetable oil, palm oil, shea butter, margarine, other fats / oil</v>
          </cell>
          <cell r="J107" t="str">
            <v>Write 0 if not consumed in past 7 days</v>
          </cell>
          <cell r="K107" t="str">
            <v>Nb of days:</v>
          </cell>
          <cell r="N107" t="str">
            <v>Range</v>
          </cell>
          <cell r="R107" t="str">
            <v>number..' should be &gt;=0 &amp; =&lt; 7</v>
          </cell>
          <cell r="S107" t="str">
            <v>NUMBER SEEMS TOO LOW/HIGH. PLEASE CHECK</v>
          </cell>
          <cell r="T107" t="str">
            <v>NEW</v>
          </cell>
          <cell r="V107" t="str">
            <v>NOT PENDANT ANYMORE</v>
          </cell>
          <cell r="W107" t="str">
            <v>Done</v>
          </cell>
        </row>
        <row r="108">
          <cell r="E108" t="str">
            <v>Food_div8</v>
          </cell>
          <cell r="F108" t="str">
            <v>Food18a</v>
          </cell>
          <cell r="G108">
            <v>1</v>
          </cell>
          <cell r="H108" t="str">
            <v>OI</v>
          </cell>
          <cell r="I108" t="str">
            <v>And what about: Sugar, or sweet: sugar, honey, jam, cakes, candy, cookies, pastries, cakes and other sweet, for example sugary drinks.</v>
          </cell>
          <cell r="J108" t="str">
            <v>Write 0 if not consumed in past 7 days</v>
          </cell>
          <cell r="K108" t="str">
            <v>Nb of days:</v>
          </cell>
          <cell r="N108" t="str">
            <v>Range</v>
          </cell>
          <cell r="R108" t="str">
            <v>number..' should be &gt;=0 &amp; =&lt; 7</v>
          </cell>
          <cell r="S108" t="str">
            <v>NUMBER SEEMS TOO LOW/HIGH. PLEASE CHECK</v>
          </cell>
          <cell r="T108" t="str">
            <v>NEW</v>
          </cell>
          <cell r="V108" t="str">
            <v>NOT PENDANT ANYMORE</v>
          </cell>
          <cell r="W108" t="str">
            <v>Done</v>
          </cell>
        </row>
        <row r="109">
          <cell r="E109" t="str">
            <v>Food_div9</v>
          </cell>
          <cell r="F109" t="str">
            <v>Food19a</v>
          </cell>
          <cell r="G109">
            <v>1</v>
          </cell>
          <cell r="H109" t="str">
            <v>OI</v>
          </cell>
          <cell r="I109" t="str">
            <v>And what about:     Condiments / Spices: tea, coffee / cocoa, salt, garlic, spices, yeast / baking powder, lanwin, tomato / sauce, meat or fish as a condiment, condiments including small amount of milk / tea coffee.</v>
          </cell>
          <cell r="J109" t="str">
            <v>Write 0 if not consumed in past 7 days</v>
          </cell>
          <cell r="K109" t="str">
            <v>Nb of days:</v>
          </cell>
          <cell r="N109" t="str">
            <v>Range</v>
          </cell>
          <cell r="R109" t="str">
            <v>number..' should be &gt;=0 &amp; =&lt; 7</v>
          </cell>
          <cell r="S109" t="str">
            <v>NUMBER SEEMS TOO LOW/HIGH. PLEASE CHECK</v>
          </cell>
          <cell r="T109" t="str">
            <v>NEW</v>
          </cell>
          <cell r="V109" t="str">
            <v>NOT PENDANT ANYMORE</v>
          </cell>
          <cell r="W109" t="str">
            <v>Done</v>
          </cell>
        </row>
        <row r="110">
          <cell r="E110" t="str">
            <v>Inc_min</v>
          </cell>
          <cell r="F110" t="str">
            <v>SubPov02</v>
          </cell>
          <cell r="G110">
            <v>1</v>
          </cell>
          <cell r="H110" t="str">
            <v>OR</v>
          </cell>
          <cell r="I110" t="str">
            <v>Could you give us the amount per [week/month/year] that corresponds to this absolute minimum [net or locally used term meaning “net”] income?</v>
          </cell>
          <cell r="K110" t="str">
            <v>Minimum income in (local currency):   
98. Don’t know 
99. refuse to respond
Go back to oroginal missing values</v>
          </cell>
          <cell r="L110" t="str">
            <v xml:space="preserve">CHANGE THE HINT: 
If income is unknown enter 98
If refuse to respond enter 99
</v>
          </cell>
          <cell r="M110" t="str">
            <v>RECODE MISSING VALUES
'Don't know' should be 98
Refuse should be 99</v>
          </cell>
          <cell r="N110" t="str">
            <v>Range</v>
          </cell>
          <cell r="R110" t="str">
            <v>Condition 1.
Minimum income should (be &gt;0) OR (be=98)  OR (BE=99)</v>
          </cell>
          <cell r="S110" t="str">
            <v>Condition 1.
AMOUNT SHOULD BE MORE THAN ZERO. PLEASE CHECK.</v>
          </cell>
          <cell r="T110" t="str">
            <v>Condition 1. 
Inspired on LSMS 2015 (s5_rentalinc)
Conditoin 2. Inspired on lsms 2015</v>
          </cell>
          <cell r="V110" t="str">
            <v>missing codes were changed</v>
          </cell>
          <cell r="W110" t="str">
            <v>Done</v>
          </cell>
        </row>
        <row r="111">
          <cell r="E111" t="str">
            <v>Inc_main</v>
          </cell>
          <cell r="F111" t="str">
            <v>IncSource1</v>
          </cell>
          <cell r="G111">
            <v>2</v>
          </cell>
          <cell r="H111" t="str">
            <v>OT
seems this is MS</v>
          </cell>
          <cell r="I111" t="str">
            <v xml:space="preserve">In the past 12 months, what were the main sources of income or support of your household?  Give us up to 3 sources.  </v>
          </cell>
          <cell r="J111" t="str">
            <v xml:space="preserve">Mark up to 3 response options. </v>
          </cell>
          <cell r="K111" t="str">
            <v>1. Income or other pay from family farming of fishing 
2. Income or other pay from family business excluding farming or fishing 
3. Income or other pay from employment of household members including yourself 
4. Foodstuff produced from family farming or fishing 5. Remittances from abroad 
6. Support from other households in the country 
7. Income from properties, investment or saving 
8. Private or State pension or any other government support (national adaptation recommended) 
9. Assistance from NGO’s or other organizations 
96. Other: specify 
98. Don’t know 
99. Refuse to respond
Responses' codes should be letters</v>
          </cell>
          <cell r="N111" t="str">
            <v>MS 
(If DK or RF are selected)</v>
          </cell>
          <cell r="O111" t="str">
            <v>MS 
(up to 3 responses)</v>
          </cell>
          <cell r="R111" t="str">
            <v>Condition 1.
If 98 OR 99 are selected, then no other response should be selected at the same time
Condition 2.
If neither 98 NOR 99 are selected, number of selected responses should be &gt;=1 &amp; =&lt; 3</v>
          </cell>
          <cell r="S111" t="str">
            <v>Conditon 1.
THE COMBINATION OF ANSWERS YOU HAVE CHOSEN IS NOT POSSIBLE. PLEASE CHECK
Condition 2.
YOU CAN ONLY SELECT UP TO 3 RESPONSES. PLEASE CHECK</v>
          </cell>
          <cell r="T111" t="str">
            <v>Condition 1.
LSMS 2015 (Both for validation and message)
Condition 2.
New</v>
          </cell>
          <cell r="W111" t="str">
            <v>Done</v>
          </cell>
        </row>
        <row r="112">
          <cell r="E112" t="str">
            <v>Inc_main_p1</v>
          </cell>
          <cell r="F112" t="str">
            <v>IncSource2a</v>
          </cell>
          <cell r="G112">
            <v>2</v>
          </cell>
          <cell r="H112" t="str">
            <v>OR</v>
          </cell>
          <cell r="I112" t="str">
            <v>What percentage of your household's total income and support does  [response 1 in Inc_main] represent?</v>
          </cell>
          <cell r="K112" t="str">
            <v xml:space="preserve">
Add a don’t know 998</v>
          </cell>
          <cell r="L112" t="str">
            <v>ADD HINT 
If don’t Know enter 998</v>
          </cell>
          <cell r="M112" t="str">
            <v>ADD MISSING CODES
Don’t know should be  998</v>
          </cell>
          <cell r="N112" t="str">
            <v>Range</v>
          </cell>
          <cell r="R112" t="str">
            <v>If only 1 response was selected in IncSource1, then this amount should be (&gt;0 and =&lt; 10) OR be 98</v>
          </cell>
          <cell r="S112" t="str">
            <v>THE NUMBER SHOULD BE BETWEEN 1 AND 10</v>
          </cell>
          <cell r="V112" t="str">
            <v>NOT PENDANT ANYMORE
Please check that missing code is correct in hint and condition</v>
          </cell>
          <cell r="W112" t="str">
            <v>Done</v>
          </cell>
        </row>
        <row r="113">
          <cell r="E113" t="str">
            <v>Inc_main_p2</v>
          </cell>
          <cell r="F113" t="str">
            <v xml:space="preserve">IncSource2b   </v>
          </cell>
          <cell r="G113">
            <v>2</v>
          </cell>
          <cell r="H113" t="str">
            <v>OR</v>
          </cell>
          <cell r="I113" t="str">
            <v>What percentage of your household's total income and support does [response 2 in Inc_main]  represent?</v>
          </cell>
          <cell r="K113" t="str">
            <v xml:space="preserve">
Add a don’t know 998</v>
          </cell>
          <cell r="L113" t="str">
            <v>ADD HINT 
If don’t Know enter 998</v>
          </cell>
          <cell r="M113" t="str">
            <v>ADD MISSING CODES
Don’t know should be  998</v>
          </cell>
          <cell r="N113" t="str">
            <v>Range</v>
          </cell>
          <cell r="R113" t="str">
            <v>Condition 1.
Values should be &gt;= 0 &amp; &lt;10 OR 98
Condition 2.
If 2 responses were selected in IncSource1, then (IncSource2a + IncSource2b=10)</v>
          </cell>
          <cell r="S113" t="str">
            <v>Condition 1.
THE NUMBER SHOULD BE BETWEEN 0 AND 10
Condition 2.
THE DIFFERENT MAIN SOURCES OF INCOME SHOULD SUM UP TO 10. PLEASE CHECK</v>
          </cell>
          <cell r="V113" t="str">
            <v>NOT PENDANT ANYMORE
Please check that missing code is correct in hint and condition</v>
          </cell>
          <cell r="W113" t="str">
            <v>Done</v>
          </cell>
        </row>
        <row r="114">
          <cell r="E114" t="str">
            <v>Inc_main_p3</v>
          </cell>
          <cell r="F114" t="str">
            <v>IncSource2c</v>
          </cell>
          <cell r="G114">
            <v>2</v>
          </cell>
          <cell r="H114" t="str">
            <v>OR</v>
          </cell>
          <cell r="I114" t="str">
            <v>What percentage of your household's total income and support does [response 3 in Inc_main] represent?</v>
          </cell>
          <cell r="K114" t="str">
            <v xml:space="preserve">
Add a don’t know 998</v>
          </cell>
          <cell r="L114" t="str">
            <v>ADD HINT 
If don’t Know enter 998</v>
          </cell>
          <cell r="M114" t="str">
            <v>ADD MISSING CODES
Don’t know should be  998</v>
          </cell>
          <cell r="N114" t="str">
            <v>Range</v>
          </cell>
          <cell r="R114" t="str">
            <v>Condition 1.
Values should be &gt;= 0 &amp; &lt;10 OR 98
Condition 2.
If 3 responses were selected in IncSource1, then (IncSource2a + IncSource2b  + IncSource2c=10)</v>
          </cell>
          <cell r="S114" t="str">
            <v>Condition 1.
THE NUMBER SHOULD BE BETWEEN 0 AND 10
Condition 2.
THE DIFFERENT MAIN SOURCES OF INCOME SHOULD SUM UP TO 10. PLEASE CHECK</v>
          </cell>
          <cell r="V114" t="str">
            <v>NOT PENDANT ANYMORE
Please check that missing code is correct in hint and condition</v>
          </cell>
          <cell r="W114" t="str">
            <v>Done</v>
          </cell>
        </row>
        <row r="115">
          <cell r="E115" t="str">
            <v>Exp_S_time</v>
          </cell>
          <cell r="F115" t="str">
            <v>ExpShock04</v>
          </cell>
          <cell r="G115">
            <v>1</v>
          </cell>
          <cell r="H115" t="str">
            <v>SS</v>
          </cell>
          <cell r="I115" t="str">
            <v xml:space="preserve">How many [weeks/months] ago did this shock happen?  </v>
          </cell>
          <cell r="J115" t="str">
            <v xml:space="preserve">If less than a week, write 0 for the number of weeks. </v>
          </cell>
          <cell r="K115" t="str">
            <v xml:space="preserve">Nb of [weeks/months] : 
98. Don’t know   
99. Refuse to answer  </v>
          </cell>
          <cell r="N115" t="str">
            <v xml:space="preserve">Range - INTER-QUESTION 
within same Module
</v>
          </cell>
          <cell r="O115" t="str">
            <v xml:space="preserve">Range - INTER-QUESTION 
within same Module
</v>
          </cell>
          <cell r="R115" t="str">
            <v>Condition 1.
If '1. weeks' was selected in Exp_S_unit, then 'Nb of [weeks/monts]' (should be &gt;= 0 &amp; =&lt; 51) OR BE=98 OR BE=99
Condition 2.
And if If '2. months' was selected in Exp_S_unit, then 'Nb of [weeks/monts]' should (be &gt;=1 &amp;=&lt; 12) OR BE=98 OR BE=99</v>
          </cell>
          <cell r="S115" t="str">
            <v xml:space="preserve">Condition 1.
AMOUNT OF WEEKS SHOULD BE BETWEEN 0 AND 51. PLEASE CHECK
Condition 2.  
NUMBER OF MONTHS SHOULD BE BETWEEN 1 AND 12. PLEASE CHECK. </v>
          </cell>
          <cell r="T115" t="str">
            <v>NEW</v>
          </cell>
          <cell r="W115" t="str">
            <v>Done</v>
          </cell>
        </row>
        <row r="116">
          <cell r="E116" t="str">
            <v>Exp_S_cop</v>
          </cell>
          <cell r="F116" t="str">
            <v>ExpShock06</v>
          </cell>
          <cell r="G116">
            <v>1</v>
          </cell>
          <cell r="H116" t="str">
            <v>SS
Think this should be MS</v>
          </cell>
          <cell r="I116" t="str">
            <v xml:space="preserve">What was the main coping strategies your household used to overcome this shock?     Tell us about up to 3 strategies. </v>
          </cell>
          <cell r="J116" t="str">
            <v>Mark up to 3 strategies.</v>
          </cell>
          <cell r="K116" t="str">
            <v>Responses' codes should be letters
SALE/SPENDING
1. Sold goods (jewelry, tools, appliances etc)
2. Sold or rented out farm land
3. Sold or rented out other land
4. Sold the harvest in advance
5. Sold animals
6. Sold or rented out the house
7. Spent cash savings
WORK
8. Worked longer hours
9. Other household members who were not working, went to work
10. Household member migrated in search of work 
BORROW
11. Borrowed money from relatives
12. Borrowed money from money lenders
13. Borrowed money from institutions e.g. Banks etc 
SUPPORT
14. Received support from Government
15. Received support from NGOs/international organizations
16. Asked support from a solidarity/informal insurance group you belong to.
CHILDREN
17. Transferred children to cheaper public or private school
18. Removed children from school to work
19. Married off a child 
COMSUMPTION
20. Reduced food consumption
21. Consumed lower cost foods
22. Reduced non-food consumption
23. Spiritual effort (prayers, sought divine intervention)
24. Did not do anything
96. Other: specify
98. Don’t know 
99. Refuse to answer</v>
          </cell>
          <cell r="N116" t="str">
            <v>MS 
(If DK or RF are selected)</v>
          </cell>
          <cell r="O116" t="str">
            <v>MS 
(up to 3 responses)</v>
          </cell>
          <cell r="R116" t="str">
            <v>Condition 1.
If 98 OR 99 are selected, then no other response should be selected at the same time
Condition 2.
If neither 98 NOR 99 are selected, number of selected responses should be &gt;=1 &amp; =&lt; 3</v>
          </cell>
          <cell r="S116" t="str">
            <v>Conditon 1.
THE COMBINATION OF ANSWERS YOU HAVE CHOSEN IS NOT POSSIBLE. PLEASE CHECK
Condition 2.
YOU CAN ONLY SELECT UP TO 3 RESPONSES. PLEASE CHECK</v>
          </cell>
          <cell r="T116" t="str">
            <v>Condition 1.
LSMS 2015 (Both for validation and message)
Condition 2.
New</v>
          </cell>
          <cell r="W116" t="str">
            <v>Done</v>
          </cell>
        </row>
        <row r="117">
          <cell r="E117" t="str">
            <v>SProtec_nb</v>
          </cell>
          <cell r="F117" t="str">
            <v>ScProtec07</v>
          </cell>
          <cell r="G117">
            <v>1</v>
          </cell>
          <cell r="H117" t="str">
            <v>OI</v>
          </cell>
          <cell r="I117" t="str">
            <v>In the past 12 months, how many times did you or anyone in your household receive assistance from [programme name]? </v>
          </cell>
          <cell r="K117" t="str">
            <v>Nb of times:
Add a 998 'Don’t know'
And 999 for Refuse
Go back to original, do not include missing codes</v>
          </cell>
          <cell r="N117" t="str">
            <v>Range</v>
          </cell>
          <cell r="R117" t="str">
            <v>Number should be (&gt; 0 &amp; =&lt; 365)</v>
          </cell>
          <cell r="S117" t="str">
            <v>THIS NUMBER SEEMS TOO LOW/HIGH. PLEASE CHECK</v>
          </cell>
          <cell r="T117" t="str">
            <v>NONE</v>
          </cell>
          <cell r="V117" t="str">
            <v>THIS VALIDATION CHENGED, MISSING CODES WERE ELIMINATED</v>
          </cell>
          <cell r="W117" t="str">
            <v>Done</v>
          </cell>
        </row>
        <row r="118">
          <cell r="E118" t="str">
            <v>SProtec_freq</v>
          </cell>
          <cell r="F118" t="str">
            <v>ScProtec10</v>
          </cell>
          <cell r="G118">
            <v>2</v>
          </cell>
          <cell r="H118" t="str">
            <v>OI</v>
          </cell>
          <cell r="I118" t="str">
            <v>In the past 12 months, how often did you or anyone in your household receive assistance from [programme name]?</v>
          </cell>
          <cell r="K118" t="str">
            <v xml:space="preserve">Nb of [weeks/months]:
98. Don’t know 
99. refuse to answer
</v>
          </cell>
          <cell r="N118" t="str">
            <v xml:space="preserve">Range - INTER-QUESTION 
within same Module
</v>
          </cell>
          <cell r="O118" t="str">
            <v xml:space="preserve">Range - INTER-QUESTION 
within same Module
</v>
          </cell>
          <cell r="R118" t="str">
            <v>Condition 1.
If 'days" is selected in SProtec_unit, then 'Nb of [weeks/monts]' should (be &gt;= 1 &amp; =&lt; 30) OR be=98 OR be=99
Condition 2.
If '1. weeks' was selected in SProtec_unit, then 'Nb of [weeks/monts]' should (be &gt;= 1 &amp; =&lt; 51) OR be=98 OR be=99
Condition 3.
If If '2. months' was selected in SProtec_unit, then 'Nb of [weeks/monts]' (should be &gt;= 1 &amp; =&lt; 12) or be=98 or be=99</v>
          </cell>
          <cell r="S118" t="str">
            <v xml:space="preserve">Condition 1.
NUMBER OF DAYS SHOULD BE BETWEEN 1 AND 30. PLEASE CHECK
Condition 2.
AMOUNT OF WEEKS SHOULD BE BETWEEN 1 AND 51. PLEASE CHECK
Condition 3.  
NUMBER OF MONTHS SHOULD BE BETWEEN 1 AND 12. PLEASE CHECK. </v>
          </cell>
          <cell r="T118" t="str">
            <v>NEW</v>
          </cell>
          <cell r="W118" t="str">
            <v>NA</v>
          </cell>
        </row>
        <row r="119">
          <cell r="F119" t="str">
            <v>CL00_2</v>
          </cell>
          <cell r="G119">
            <v>1</v>
          </cell>
          <cell r="J119" t="str">
            <v>Record ID of “another adult”</v>
          </cell>
          <cell r="K119" t="str">
            <v>Drop down from the roster - ID</v>
          </cell>
          <cell r="N119" t="str">
            <v>Intermodule</v>
          </cell>
          <cell r="R119" t="str">
            <v>Respondent should be &gt;=15 years old AND =&lt; 110 years old</v>
          </cell>
          <cell r="S119" t="str">
            <v>RESPONDENT IS TOO YOUNG. PLEASE CHECK</v>
          </cell>
          <cell r="T119" t="str">
            <v>Based on Hhroster age of cargiver</v>
          </cell>
          <cell r="V119" t="str">
            <v>Do we need this validation?</v>
          </cell>
          <cell r="W119" t="str">
            <v xml:space="preserve">Not possible at the moment </v>
          </cell>
        </row>
        <row r="120">
          <cell r="F120" t="str">
            <v>CL02</v>
          </cell>
          <cell r="G120">
            <v>2</v>
          </cell>
          <cell r="H120" t="str">
            <v>OI</v>
          </cell>
          <cell r="I120" t="str">
            <v xml:space="preserve">During the past 7 days, about how many hours did [name] engage in [his/her] activity(ies), in total?
</v>
          </cell>
          <cell r="J120" t="str">
            <v>If the respondent has difficulty determining the number of hours, please probe. For example, you could ask him/her: “How many days did he/she work in the past 7 days” and “How many hours did he/she work each of these days?”  From this, you can help respondent to calculate the number of hours typically worked in a week.</v>
          </cell>
          <cell r="K120" t="str">
            <v>Number of hours 
_ _ _
Don't  know  98
Change to 998 instead of 98</v>
          </cell>
          <cell r="L120" t="str">
            <v xml:space="preserve">CHANGE THE HINT: 
If Number is unknown enter 998
</v>
          </cell>
          <cell r="M120" t="str">
            <v>RECODE MISSING VALUES
'Don't know' should be 998</v>
          </cell>
          <cell r="N120" t="str">
            <v>Range</v>
          </cell>
          <cell r="R120" t="str">
            <v>Number of hours' (should be (&gt;= 0 &amp;=&lt; 168) OR (be=998)</v>
          </cell>
          <cell r="S120" t="str">
            <v>NUMBER OF HOURS CAN NOT BE HIGHER THAN 168. PLEASE CHECK</v>
          </cell>
          <cell r="T120" t="str">
            <v>Bisp 2018 for limit of 168 hours and warning message (CQ02)</v>
          </cell>
          <cell r="W120" t="str">
            <v>Done</v>
          </cell>
        </row>
        <row r="121">
          <cell r="F121" t="str">
            <v>CL09</v>
          </cell>
          <cell r="G121">
            <v>3</v>
          </cell>
          <cell r="H121" t="str">
            <v>OI</v>
          </cell>
          <cell r="I121" t="str">
            <v>In the past 7 days, about how many hours did [name] engage in [his/her] activity(ies), in total?</v>
          </cell>
          <cell r="J121" t="str">
            <v>If the respondent has difficulty determining the number of hours, please probe. For example, you could ask him/her: “How many days did (name) did these activities in the past 7 days” and “on average, how many hours did he/she work each of these days?”  From this, you can help respondent to calculate the number of hours.</v>
          </cell>
          <cell r="K121" t="str">
            <v>Number of hours  _ _ _
Don't know  98
Change to 998 instead of 98</v>
          </cell>
          <cell r="L121" t="str">
            <v xml:space="preserve">CHANGE THE HINT: 
If Number is unknown enter 998
</v>
          </cell>
          <cell r="M121" t="str">
            <v>RECODE MISSING VALUES
'Don't know' should be 998</v>
          </cell>
          <cell r="N121" t="str">
            <v>Range</v>
          </cell>
          <cell r="R121" t="str">
            <v>Condition 1.
'Number of hours' (should be &gt;= 0 &amp;=&lt; 168) OR (be=998)</v>
          </cell>
          <cell r="S121" t="str">
            <v xml:space="preserve">Condition 1.
NUMBER OF HOURS CAN NOT BE HIGHER THAN 168. PLEASE CHECK
</v>
          </cell>
          <cell r="T121" t="str">
            <v>Bisp 2018 for limit of 168 hours and warning message (CQ02)</v>
          </cell>
          <cell r="W121" t="str">
            <v>Done</v>
          </cell>
        </row>
        <row r="122">
          <cell r="F122" t="str">
            <v>HH14</v>
          </cell>
          <cell r="G122">
            <v>2</v>
          </cell>
          <cell r="H122" t="str">
            <v>OI</v>
          </cell>
          <cell r="I122" t="str">
            <v>How many separate rooms do the members of your household  occupy? (DO NOT COUNT BATHROOMS, TOILETS, STORE-ROOMS, OR GARAGE)</v>
          </cell>
          <cell r="K122" t="str">
            <v>NUMBER OF rooms _ _</v>
          </cell>
          <cell r="L122" t="str">
            <v>no changes needed</v>
          </cell>
          <cell r="M122" t="str">
            <v>no changes needed</v>
          </cell>
          <cell r="N122" t="str">
            <v>Range</v>
          </cell>
          <cell r="R122" t="str">
            <v>Number of rooms' needs to be &gt;0</v>
          </cell>
          <cell r="S122" t="str">
            <v>NUMBER OF ROOMS SHOULD BE AT LEAST ONE. PLEASE CHECK</v>
          </cell>
          <cell r="T122" t="str">
            <v>LSMS 2015</v>
          </cell>
          <cell r="W122" t="str">
            <v>Done</v>
          </cell>
        </row>
        <row r="123">
          <cell r="F123" t="str">
            <v>HH14a</v>
          </cell>
          <cell r="R123" t="str">
            <v>Number of structures needs to be &gt;0</v>
          </cell>
          <cell r="S123" t="str">
            <v>NUMBER OF STRUCTURES SHOULD BE AT LEAST ONE. PLEASE CHECK</v>
          </cell>
        </row>
        <row r="124">
          <cell r="F124" t="str">
            <v>HH15</v>
          </cell>
          <cell r="G124">
            <v>2</v>
          </cell>
          <cell r="H124" t="str">
            <v>OI</v>
          </cell>
          <cell r="I124" t="str">
            <v>How many rooms in this household are used for sleeping?</v>
          </cell>
          <cell r="K124" t="str">
            <v>NUMBER OF rooms _ _</v>
          </cell>
          <cell r="L124" t="str">
            <v>no changes needed</v>
          </cell>
          <cell r="M124" t="str">
            <v>no changes needed</v>
          </cell>
          <cell r="N124" t="str">
            <v>Range</v>
          </cell>
          <cell r="R124" t="str">
            <v>Condition 1.
Number of rooms needs to be &gt;0
Condition 2.
answer in HH15 should be &lt;= answer in HH14</v>
          </cell>
          <cell r="S124" t="str">
            <v xml:space="preserve">Condition 1.
NUMER OF ROOMS SHOULD AT LEAST BE ONE. 
Condition 2.
NUMBER OF ROOMS IS HIGHER THAN THE SPECIFIED IN PREVIOUS QUESTION. PLEASE CHECK. </v>
          </cell>
          <cell r="T124" t="str">
            <v>LSMS 2015 (For condition 1)</v>
          </cell>
          <cell r="V124" t="str">
            <v>NOT PENDANT ANYMORE. CONDITION 2 WAS DROPED</v>
          </cell>
          <cell r="W124" t="str">
            <v>dONE</v>
          </cell>
        </row>
        <row r="125">
          <cell r="F125" t="str">
            <v>HH18</v>
          </cell>
          <cell r="G125">
            <v>2</v>
          </cell>
          <cell r="H125" t="str">
            <v>OI</v>
          </cell>
          <cell r="I125" t="str">
            <v xml:space="preserve">In addition to your household members, how many people are sharing this living space? </v>
          </cell>
          <cell r="K125" t="str">
            <v>NUMBER OF PEOPLE _ _</v>
          </cell>
          <cell r="L125" t="str">
            <v>no changes needed</v>
          </cell>
          <cell r="M125" t="str">
            <v>no changes needed</v>
          </cell>
          <cell r="N125" t="str">
            <v>Range</v>
          </cell>
          <cell r="R125" t="str">
            <v>Number of people' should be &gt;=0&lt;20</v>
          </cell>
          <cell r="S125" t="str">
            <v>THIS NUMBER SHOULD BE EQUAL TO ZERO OR HIGHER AND SHOULD NOT BE TOO HIGH. PLEASE CHECK</v>
          </cell>
          <cell r="T125" t="str">
            <v>Inspired in LSMS 2015 (s5_waterbillshare)</v>
          </cell>
          <cell r="W125" t="str">
            <v>Done</v>
          </cell>
        </row>
        <row r="126">
          <cell r="F126" t="str">
            <v>BD17</v>
          </cell>
          <cell r="G126">
            <v>1</v>
          </cell>
          <cell r="H126" t="str">
            <v>MS</v>
          </cell>
          <cell r="I126" t="str">
            <v>What do you or someone else in the household usually do to make the water safer to drink?</v>
          </cell>
          <cell r="J126" t="str">
            <v>Do not read out the list of possible responses, allow respondent to list and mark all that apply</v>
          </cell>
          <cell r="K126" t="str">
            <v xml:space="preserve">Change format, so letter comes first and then description of answer
Change Z to DK, and X to OT
LET IT STAND AND SETTLE A
BOIL IT B
EXPOSE IT TO SUNLIGHT C
USE DISINFECTION PRODUCT:  D
    Aquatabs/water purification tablets DA
    Liquid chlorine DB
    Powder or granular chlorine DC
    PuR or Watermaker sachets DD
    Other (please specify) DX
FILTER IT: E
    Biosand Filter EA
    Ceramic Pot Filter EB
    Candle Filter/Bucket Filter EC
    Other (please specify): EX
ASH  F
Other (please specify) X
DON’T KNOW Z
</v>
          </cell>
          <cell r="N126" t="str">
            <v>MS 
(If DK or RF are selected)</v>
          </cell>
          <cell r="R126" t="str">
            <v xml:space="preserve">Condition 1.
If "DK" is selected, then no other response should be selected at the same time
</v>
          </cell>
          <cell r="S126" t="str">
            <v xml:space="preserve">Conditon 1.
THE COMBINATION OF ANSWERS YOU HAVE CHOSEN IS NOT POSSIBLE. PLEASE CHECK
</v>
          </cell>
          <cell r="T126" t="str">
            <v xml:space="preserve">Condition 1.
LSMS 2015 (Both for validation and message)
</v>
          </cell>
          <cell r="W126" t="str">
            <v>Done</v>
          </cell>
        </row>
        <row r="127">
          <cell r="F127" t="str">
            <v>BD20_2</v>
          </cell>
          <cell r="G127">
            <v>1</v>
          </cell>
          <cell r="H127" t="str">
            <v>OI</v>
          </cell>
          <cell r="I127" t="str">
            <v xml:space="preserve">How long does it take for members of your household to go to the main source of drinking water, stay in a queue, get water, and come back? Please do not include time spent socialising. </v>
          </cell>
          <cell r="K127" t="str">
            <v xml:space="preserve">NUMBER OF HOURS_ _ _0
NUMBER OF MINUTES _ _ _ 1
DON’T KNOW  998
</v>
          </cell>
          <cell r="L127" t="str">
            <v>CHECK HINT
if Number of hours is unknown enter 998
If number of minutes is unknown enter 998
(Im keeping three digits for minutes here since this missing code is outside the range of values considered as "data")</v>
          </cell>
          <cell r="M127" t="str">
            <v>CHECK MISSING VALUES
don’t KNOW FOR HOURS should be 998
Don't know for minutes should be 998</v>
          </cell>
          <cell r="N127" t="str">
            <v>Range</v>
          </cell>
          <cell r="O127" t="str">
            <v>Range</v>
          </cell>
          <cell r="R127" t="str">
            <v>Condition 1. 
'hours' should be (&gt;=0  &amp; =&lt;15) OR (BE=998)
Condition 2.
'minutes' should be (&gt;=0  &amp; =&lt; 59) OR (BE=998)</v>
          </cell>
          <cell r="S127" t="str">
            <v>Condition 1.
THIS NUMBER SEEMS TOO LOW/TOO HIGH. PLEASE CHECK
Condition 2.
THIS NUMBER SHOULD BE BETWEEN 0 AND 59. PLEASE CHECK</v>
          </cell>
          <cell r="T127" t="str">
            <v>LSMS 2015 (s5_timeWater)</v>
          </cell>
          <cell r="W127" t="str">
            <v>Done</v>
          </cell>
        </row>
        <row r="128">
          <cell r="F128" t="str">
            <v>BD23</v>
          </cell>
          <cell r="G128">
            <v>3</v>
          </cell>
          <cell r="H128" t="str">
            <v>OI</v>
          </cell>
          <cell r="I128" t="str">
            <v>Now please think about the main source of water that your household uses for other purposes such as cooking and handwashing. How long does it take for members of your household to go there, stay in a queue, get water, and come back? Please do not include time spent socialising.</v>
          </cell>
          <cell r="K128" t="str">
            <v>NUMBER OF MINUTES _ _ _ 1
HOUSEHOLD MEMBERS DO NOT COLLECT 97
DON’T KNOW 98
Recode 97 to 997
Recode 98 to 998</v>
          </cell>
          <cell r="L128" t="str">
            <v>CHECK HINT
If Household members do not collect water, enter 997
If Number unknown enter 998</v>
          </cell>
          <cell r="M128" t="str">
            <v>If Household members do not collect, code should be 997
If Don’t know code should be 998</v>
          </cell>
          <cell r="N128" t="str">
            <v>Range</v>
          </cell>
          <cell r="R128" t="str">
            <v xml:space="preserve">Condition 1.
'NUMBER OF MINUTES should (be &gt; 0 &amp; =&lt; 900) OR BE=997 OR BE=998
</v>
          </cell>
          <cell r="S128" t="str">
            <v>Condition 1.
MUST BE AT LEAST ONE MINUTE. PLEASE CHECK</v>
          </cell>
          <cell r="T128" t="str">
            <v>LSMS 2015 (s5_timeWater)</v>
          </cell>
          <cell r="W128" t="str">
            <v>Done</v>
          </cell>
        </row>
        <row r="129">
          <cell r="F129" t="str">
            <v>SAN11</v>
          </cell>
          <cell r="G129">
            <v>2</v>
          </cell>
          <cell r="H129" t="str">
            <v>MS</v>
          </cell>
          <cell r="I129" t="str">
            <v>At what time of the day are you personally unable to use the toilet facility?</v>
          </cell>
          <cell r="J129" t="str">
            <v>Do not read response options, check all that apply</v>
          </cell>
          <cell r="K129" t="str">
            <v xml:space="preserve">Change format, so letter comes first and then description of answer
At night A
During the day B
Other (specify)  OT
Don’t know  DK
</v>
          </cell>
          <cell r="N129" t="str">
            <v>MS 
(If DK or RF are selected)</v>
          </cell>
          <cell r="R129" t="str">
            <v xml:space="preserve">Condition 1.
If "DK" is selected, then no other response should be selected at the same time
</v>
          </cell>
          <cell r="S129" t="str">
            <v xml:space="preserve">Conditon 1.
THE COMBINATION OF ANSWERS YOU HAVE CHOSEN IS NOT POSSIBLE. PLEASE CHECK
</v>
          </cell>
          <cell r="T129" t="str">
            <v xml:space="preserve">Condition 1.
LSMS 2015 (Both for validation and message)
</v>
          </cell>
          <cell r="W129" t="str">
            <v>Removed from SSD</v>
          </cell>
        </row>
        <row r="130">
          <cell r="F130" t="str">
            <v>SAN12</v>
          </cell>
          <cell r="G130">
            <v>1</v>
          </cell>
          <cell r="H130" t="str">
            <v>MS</v>
          </cell>
          <cell r="I130" t="str">
            <v>Where do you personally go when you cannot use this toilet facility?</v>
          </cell>
          <cell r="J130" t="str">
            <v>Mark all that apply</v>
          </cell>
          <cell r="K130" t="str">
            <v xml:space="preserve">Change format, so letter comes first and then description of answer
Neighbours toilet A
Open defecation B
Hold onto it till an appropriate time C
Other (specify)  OT
Don’t know  DK
Refused   RF
</v>
          </cell>
          <cell r="N130" t="str">
            <v>MS 
(If DK or RF are selected)</v>
          </cell>
          <cell r="R130" t="str">
            <v xml:space="preserve">Condition 1.
If "DK" OR "RF" are selected, then no other response should be selected at the same time </v>
          </cell>
          <cell r="S130" t="str">
            <v>Condition 1.
THE COMBINATION OF ANSWERS YOU HAVE CHOSEN IS NOT POSSIBLE. PLEASE CHECK</v>
          </cell>
          <cell r="T130" t="str">
            <v>Condition 1.
LSMS 2015 (Both for validation and message)</v>
          </cell>
          <cell r="W130" t="str">
            <v>Done</v>
          </cell>
        </row>
        <row r="131">
          <cell r="F131" t="str">
            <v>SAN14</v>
          </cell>
          <cell r="G131">
            <v>2</v>
          </cell>
          <cell r="H131" t="str">
            <v>MS</v>
          </cell>
          <cell r="I131" t="str">
            <v>When is the whole household unable to use the toilet facility?</v>
          </cell>
          <cell r="J131" t="str">
            <v>Do not read response options, check all that apply</v>
          </cell>
          <cell r="K131" t="str">
            <v xml:space="preserve">Change format, so letter comes first and then description of answer
change code Z to DK
Rainy season A
Don’t know  Z
Other (specify)  OT
Refused  RF
</v>
          </cell>
          <cell r="N131" t="str">
            <v>MS 
(If DK or RF are selected)</v>
          </cell>
          <cell r="R131" t="str">
            <v xml:space="preserve">Condition 1.
If "DK" of "RF" is selected, then no other response should be selected at the same time </v>
          </cell>
          <cell r="S131" t="str">
            <v>Condition 1.
THE COMBINATION OF ANSWERS YOU HAVE CHOSEN IS NOT POSSIBLE. PLEASE CHECK</v>
          </cell>
          <cell r="T131" t="str">
            <v>Condition 1.
LSMS 2015 (Both for validation and message)</v>
          </cell>
          <cell r="W131" t="str">
            <v>removed from SSD</v>
          </cell>
        </row>
        <row r="132">
          <cell r="F132" t="str">
            <v>SAN15</v>
          </cell>
          <cell r="G132">
            <v>1</v>
          </cell>
          <cell r="H132" t="str">
            <v>MS</v>
          </cell>
          <cell r="I132" t="str">
            <v>Where do household members go when they cannot use the toilet facility?</v>
          </cell>
          <cell r="J132" t="str">
            <v>Do not read response options, check all that apply</v>
          </cell>
          <cell r="K132" t="str">
            <v xml:space="preserve">Change format, so letter comes first and then description of answer
Neighbours toilet A
Open defecation B
Hold onto it till an appropriate time C
Don’t know  DK
Other (specify)  OT
No information  RF
</v>
          </cell>
          <cell r="N132" t="str">
            <v>MS 
(If DK or RF are selected)</v>
          </cell>
          <cell r="R132" t="str">
            <v xml:space="preserve">Condition 1.
If "DK" of "RF" is selected, then no other response should be selected at the same time </v>
          </cell>
          <cell r="S132" t="str">
            <v>Condition 1.
THE COMBINATION OF ANSWERS YOU HAVE CHOSEN IS NOT POSSIBLE. PLEASE CHECK</v>
          </cell>
          <cell r="T132" t="str">
            <v>Condition 1.
LSMS 2015 (Both for validation and message)</v>
          </cell>
          <cell r="W132" t="str">
            <v>done</v>
          </cell>
        </row>
        <row r="133">
          <cell r="F133" t="str">
            <v>OB02_1</v>
          </cell>
          <cell r="G133">
            <v>1</v>
          </cell>
          <cell r="H133" t="str">
            <v>OI</v>
          </cell>
          <cell r="I133" t="str">
            <v>How many containers for storing and collecting water are there?</v>
          </cell>
          <cell r="J133" t="str">
            <v>Observe</v>
          </cell>
          <cell r="K133" t="str">
            <v>Number of containers _ _ </v>
          </cell>
          <cell r="L133" t="str">
            <v>no changes needed</v>
          </cell>
          <cell r="M133" t="str">
            <v>no changes needed</v>
          </cell>
          <cell r="N133" t="str">
            <v>Range</v>
          </cell>
          <cell r="R133" t="str">
            <v>Number of containers' should be &gt;0</v>
          </cell>
          <cell r="S133" t="str">
            <v>THERE MUST BE AT LEAST ONE CONTAINER. PLEASE CHECK</v>
          </cell>
          <cell r="T133" t="str">
            <v>NEW</v>
          </cell>
          <cell r="W133" t="str">
            <v>Done</v>
          </cell>
        </row>
        <row r="134">
          <cell r="F134" t="str">
            <v>OB02_3</v>
          </cell>
          <cell r="G134">
            <v>1</v>
          </cell>
          <cell r="H134" t="str">
            <v>OR</v>
          </cell>
          <cell r="I134" t="str">
            <v>What is the volume of [container number]?</v>
          </cell>
          <cell r="J134" t="str">
            <v>ENTER THE AMOUNT OF LITRES each CONTAINER CAN HOLD TO THE NEAREST 0.5</v>
          </cell>
          <cell r="L134" t="str">
            <v>no changes needed</v>
          </cell>
          <cell r="M134" t="str">
            <v>no changes needed</v>
          </cell>
          <cell r="N134" t="str">
            <v>Range</v>
          </cell>
          <cell r="R134" t="str">
            <v>Condition 1.
'AMOUNT OF LITRES' (should be &gt;=0.5)</v>
          </cell>
          <cell r="S134" t="str">
            <v>Condition 1.
NUMBER OF LITRES SHOULD BE AT LEAST 0.5. PLEASE CHECK</v>
          </cell>
          <cell r="T134" t="str">
            <v>NEW</v>
          </cell>
          <cell r="W134" t="str">
            <v>Done</v>
          </cell>
        </row>
        <row r="135">
          <cell r="F135" t="str">
            <v>OB02_5</v>
          </cell>
          <cell r="G135">
            <v>1</v>
          </cell>
          <cell r="H135" t="str">
            <v>OI</v>
          </cell>
          <cell r="I135" t="str">
            <v>How many times did you go to collect water with this [container number] yesterday? This includes all water collected morning, afternoon, and evening.</v>
          </cell>
          <cell r="K135" t="str">
            <v>Number of times  _</v>
          </cell>
          <cell r="L135" t="str">
            <v>no changes needed</v>
          </cell>
          <cell r="M135" t="str">
            <v>no changes needed</v>
          </cell>
          <cell r="N135" t="str">
            <v>Range</v>
          </cell>
          <cell r="R135" t="str">
            <v>Number of times' should be &gt;=0</v>
          </cell>
          <cell r="S135" t="str">
            <v>THIS NUMBER SEEMS TOO LOW. PLEASE CHECK</v>
          </cell>
          <cell r="T135" t="str">
            <v>NEW</v>
          </cell>
          <cell r="W135" t="str">
            <v>Done</v>
          </cell>
        </row>
        <row r="136">
          <cell r="F136" t="str">
            <v>MN02</v>
          </cell>
          <cell r="G136">
            <v>1</v>
          </cell>
          <cell r="H136" t="str">
            <v>OI</v>
          </cell>
          <cell r="I136" t="str">
            <v>How many of these [bednets/mosquito nets] that can be used while sleeping does your household have? Please include any [bednets/mosquito nets] that are currently  not used, and being stored or saved.</v>
          </cell>
          <cell r="K136" t="str">
            <v>Number_ _
Add a Don’t know 998</v>
          </cell>
          <cell r="L136" t="str">
            <v>ADD HINT
If Number unknown enter 998</v>
          </cell>
          <cell r="M136" t="str">
            <v>ADD CODES
Don’t know should be 998</v>
          </cell>
          <cell r="N136" t="str">
            <v>Range</v>
          </cell>
          <cell r="R136" t="str">
            <v>Number should be (&gt;0 &amp; &lt;90) OR (=98)</v>
          </cell>
          <cell r="S136" t="str">
            <v>NUMBER OF [BEDNETS/MOSQUITO NETS] SHOULD BE AT LEAST ONE AND SHOULD NOT BE TOO HIGH. PLEASE CHECK</v>
          </cell>
          <cell r="T136" t="str">
            <v>New</v>
          </cell>
          <cell r="V136" t="str">
            <v>NOT PENDANT ANYMORE</v>
          </cell>
          <cell r="W136" t="str">
            <v>Done</v>
          </cell>
        </row>
        <row r="137">
          <cell r="F137" t="str">
            <v>MN05_1</v>
          </cell>
          <cell r="G137">
            <v>1</v>
          </cell>
          <cell r="H137" t="str">
            <v>OI</v>
          </cell>
          <cell r="I137" t="str">
            <v>How many people?</v>
          </cell>
          <cell r="K137" t="str">
            <v>Number_ _</v>
          </cell>
          <cell r="N137" t="str">
            <v xml:space="preserve">Range - INTER-QUESTION 
within same Module
</v>
          </cell>
          <cell r="R137" t="str">
            <v>Number should be &gt; 0 &amp; =&lt; [number of household member + 10]</v>
          </cell>
          <cell r="S137" t="str">
            <v>NUMBER OF PEOPLE IS MUCH HIGHER THAN NUMBER OF HOUSEHOLD MEMBERS. PLEASE CHECK</v>
          </cell>
          <cell r="T137" t="str">
            <v>New</v>
          </cell>
          <cell r="W137" t="str">
            <v>Done</v>
          </cell>
        </row>
        <row r="138">
          <cell r="F138" t="str">
            <v>MN06</v>
          </cell>
          <cell r="G138">
            <v>1</v>
          </cell>
          <cell r="H138" t="str">
            <v>OI</v>
          </cell>
          <cell r="I138" t="str">
            <v xml:space="preserve">How many [bednets/mosquito nets] were used for sleeping last night? </v>
          </cell>
          <cell r="K138" t="str">
            <v>Number_ _</v>
          </cell>
          <cell r="N138" t="str">
            <v xml:space="preserve">Range - INTER-QUESTION 
within same Module
</v>
          </cell>
          <cell r="R138" t="str">
            <v>This number should be =&lt; number specified in MN02</v>
          </cell>
          <cell r="S138" t="str">
            <v>NUMBER OF [BEDNETS/MOSQUITO NETS] IS HIGHER THAN THE NUMBER OF [BEDNETS/MOSQUITONETS] REGISTERED BEFORE AS AVAILABLE AT THE HOUSEHOLD. PLEASE CHECK</v>
          </cell>
          <cell r="T138" t="str">
            <v>New</v>
          </cell>
          <cell r="W138" t="str">
            <v>Done</v>
          </cell>
        </row>
        <row r="139">
          <cell r="F139" t="str">
            <v>MN07</v>
          </cell>
          <cell r="G139">
            <v>1</v>
          </cell>
          <cell r="H139" t="str">
            <v>OI</v>
          </cell>
          <cell r="I139" t="str">
            <v xml:space="preserve">To the best of your knowledge, how many of [bednets/mosquito nets] your household used last night for sleeping were treated within the past  6 months? </v>
          </cell>
          <cell r="K139" t="str">
            <v>Number_ _</v>
          </cell>
          <cell r="N139" t="str">
            <v xml:space="preserve">Range - INTER-QUESTION 
within same Module
</v>
          </cell>
          <cell r="R139" t="str">
            <v>This number should be =&lt; number specified in MN06</v>
          </cell>
          <cell r="S139" t="str">
            <v>NUMBER OF [BEDNETS/MOSQUITONETS] SEEMS TOO HIGH GIVEN  THE NUMBER OF . [BEDNETS/MOSQUITONETS] SPECIFIED ON LAST QUESTION. PLEASE CHECK</v>
          </cell>
          <cell r="T139" t="str">
            <v>New</v>
          </cell>
          <cell r="W139" t="str">
            <v>Done</v>
          </cell>
        </row>
        <row r="140">
          <cell r="E140" t="str">
            <v>att_date</v>
          </cell>
          <cell r="F140" t="str">
            <v>Intro_10</v>
          </cell>
          <cell r="G140">
            <v>1</v>
          </cell>
          <cell r="H140" t="str">
            <v>OI</v>
          </cell>
          <cell r="I140" t="str">
            <v>Date of the contact attempt:</v>
          </cell>
          <cell r="K140" t="str">
            <v>Date:</v>
          </cell>
          <cell r="L140" t="str">
            <v>no changes needed</v>
          </cell>
          <cell r="M140" t="str">
            <v>no changes needed</v>
          </cell>
          <cell r="N140" t="str">
            <v>Range</v>
          </cell>
          <cell r="O140" t="str">
            <v>Range</v>
          </cell>
          <cell r="P140" t="str">
            <v>Range</v>
          </cell>
          <cell r="R140" t="str">
            <v>Condition 1.
Days should be &gt;= 1 &amp; =&lt; 31
Condition 2.
Months should be &gt;= 1 &amp; =&lt; 12
Condition 3.
Year should be == 2023</v>
          </cell>
          <cell r="S140" t="str">
            <v>Condition 1.
INVALID VALUE FOR DAYS. PLEASE CHECK
Condition 2.
INVALID VALUE FOR MONTHS. PLEASE CHECK
Condition 3.
INVALID YEAR. PLEASE CHECK</v>
          </cell>
          <cell r="T140" t="str">
            <v>nONE</v>
          </cell>
          <cell r="U140" t="str">
            <v>Chage 2023 to current year of survey</v>
          </cell>
          <cell r="W140" t="str">
            <v>Done</v>
          </cell>
        </row>
        <row r="141">
          <cell r="F141" t="str">
            <v>MN03</v>
          </cell>
          <cell r="G141">
            <v>1</v>
          </cell>
          <cell r="H141" t="str">
            <v>MS</v>
          </cell>
          <cell r="I141" t="str">
            <v>Where did you get these [bednets/mosquito nets]?</v>
          </cell>
          <cell r="J141" t="str">
            <v>Check all that apply</v>
          </cell>
          <cell r="K141" t="str">
            <v xml:space="preserve">GOVERNMENT
 HEALTH FACILITY A
PRIVATE
 HEALTH FACILITY B
PHARMACY C
SHOP / MARKET/
STREET D
COMMUNITY HEALTH
 WORKER E
RELIGIOUS
 INSTITUTION F
SCHOOL G
UNHCR/UN/NGO  H
OTHER OT
DK DK
</v>
          </cell>
          <cell r="R141" t="str">
            <v>Condition 1.
If "DK" is selected, then no other response should be selected at the same time</v>
          </cell>
          <cell r="S141" t="str">
            <v>Conditon 1.
THE COMBINATION OF ANSWERS YOU HAVE CHOSEN IS NOT POSSIBLE. PLEASE CHECK</v>
          </cell>
        </row>
        <row r="142">
          <cell r="F142" t="str">
            <v>MN05_2</v>
          </cell>
          <cell r="H142" t="str">
            <v>OI</v>
          </cell>
          <cell r="I142" t="str">
            <v xml:space="preserve">You told me that [response to MN05_1 if MN05_1&gt;1] people slept under [bednets/mosquito nets] last night, how many of them slept under treated [bednets/mosquito nets] ? 
OR
You told me that [response to MN05_1 if MN05_1=1] person slept under [bednets/mosquito nets] last night, did this person sleep under treated [bednets/mosquito nets] ? </v>
          </cell>
          <cell r="K142" t="str">
            <v>Number_ _</v>
          </cell>
          <cell r="R142" t="str">
            <v>Condition 1
Number should be &gt;= 0 &amp; =&lt;MN05_1</v>
          </cell>
          <cell r="S142" t="str">
            <v>Condition 1
THIS NUMBER IS HIGHER THAN THE NUMBER OF PEOPLE WHO SLEPT UNDER [bednets/mosquito nets] LAST NIGHT. PLEASE CHECK.</v>
          </cell>
        </row>
        <row r="143">
          <cell r="F143" t="str">
            <v>MN09</v>
          </cell>
          <cell r="H143" t="str">
            <v>OI</v>
          </cell>
          <cell r="I143" t="str">
            <v>How many guests slept in your home last night?</v>
          </cell>
          <cell r="K143" t="str">
            <v>Number_ _</v>
          </cell>
          <cell r="R143" t="str">
            <v>Condition 1
Number should be  (&gt;= 0 &amp; =&lt;90) OR be =98</v>
          </cell>
          <cell r="S143" t="str">
            <v>THE NUMBER IS TOO LOW/HIGH. PLEASE CHECK</v>
          </cell>
        </row>
        <row r="144">
          <cell r="F144" t="str">
            <v>HC10</v>
          </cell>
          <cell r="I144" t="str">
            <v xml:space="preserve">In the past 30 days, who usually goes to collect the main fuel for the cookstove your household uses most of the time? </v>
          </cell>
          <cell r="J144" t="str">
            <v>Collect up to 2 names</v>
          </cell>
          <cell r="K144" t="str">
            <v>Not applicable, Members do not collect 97
Name 1
HH ID 1
Name 2 
HH ID 2</v>
          </cell>
          <cell r="R144" t="str">
            <v>Condition 1.
Number of names introduced should be max 2</v>
          </cell>
          <cell r="S144" t="str">
            <v>YOU CAN SELECT UP TO TWO NAMES. PLEASE CHECK</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C3292-3A1F-456D-94E0-C676712D4A5A}">
  <sheetPr>
    <tabColor rgb="FFFF3399"/>
  </sheetPr>
  <dimension ref="B1:S120"/>
  <sheetViews>
    <sheetView tabSelected="1" zoomScale="92" zoomScaleNormal="100" workbookViewId="0">
      <selection activeCell="D28" sqref="D28"/>
    </sheetView>
  </sheetViews>
  <sheetFormatPr defaultColWidth="10.875" defaultRowHeight="15.75" x14ac:dyDescent="0.25"/>
  <cols>
    <col min="1" max="1" width="3" style="1" customWidth="1"/>
    <col min="2" max="2" width="20.5" style="1" customWidth="1"/>
    <col min="3" max="3" width="0" style="1" hidden="1" customWidth="1"/>
    <col min="4" max="4" width="21.375" style="1" customWidth="1"/>
    <col min="5" max="5" width="10" style="1" customWidth="1"/>
    <col min="6" max="6" width="34" style="1" customWidth="1"/>
    <col min="7" max="7" width="10.875" style="1"/>
    <col min="8" max="8" width="24.375" style="2" customWidth="1"/>
    <col min="9" max="10" width="23.5" style="1" customWidth="1"/>
    <col min="11" max="11" width="18.5" style="1" customWidth="1"/>
    <col min="12" max="16" width="18" style="1" customWidth="1"/>
    <col min="17" max="17" width="15.5" style="1" customWidth="1"/>
    <col min="18" max="19" width="16.5" style="1" customWidth="1"/>
    <col min="20" max="16384" width="10.875" style="1"/>
  </cols>
  <sheetData>
    <row r="1" spans="2:19" ht="16.5" thickBot="1" x14ac:dyDescent="0.3"/>
    <row r="2" spans="2:19" ht="30.75" thickBot="1" x14ac:dyDescent="0.3">
      <c r="B2" s="3" t="s">
        <v>0</v>
      </c>
      <c r="C2" s="3" t="s">
        <v>1</v>
      </c>
      <c r="D2" s="4" t="s">
        <v>2</v>
      </c>
      <c r="E2" s="4" t="s">
        <v>3</v>
      </c>
      <c r="F2" s="4" t="s">
        <v>4</v>
      </c>
      <c r="G2" s="4" t="s">
        <v>5</v>
      </c>
      <c r="H2" s="5" t="s">
        <v>6</v>
      </c>
      <c r="I2" s="4" t="s">
        <v>7</v>
      </c>
      <c r="J2" s="4" t="s">
        <v>8</v>
      </c>
      <c r="K2" s="4" t="s">
        <v>9</v>
      </c>
      <c r="L2" s="4" t="s">
        <v>10</v>
      </c>
      <c r="M2" s="6" t="s">
        <v>11</v>
      </c>
      <c r="N2" s="7" t="s">
        <v>12</v>
      </c>
      <c r="O2" s="6" t="s">
        <v>13</v>
      </c>
      <c r="P2" s="8" t="s">
        <v>14</v>
      </c>
      <c r="Q2" s="4" t="s">
        <v>15</v>
      </c>
      <c r="R2" s="4" t="s">
        <v>16</v>
      </c>
      <c r="S2" s="9" t="s">
        <v>17</v>
      </c>
    </row>
    <row r="3" spans="2:19" ht="39" thickBot="1" x14ac:dyDescent="0.3">
      <c r="B3" s="10"/>
      <c r="C3" s="11"/>
      <c r="D3" s="12"/>
      <c r="E3" s="12" t="s">
        <v>18</v>
      </c>
      <c r="F3" s="13" t="s">
        <v>19</v>
      </c>
      <c r="G3" s="14"/>
      <c r="H3" s="15"/>
      <c r="I3" s="14"/>
      <c r="J3" s="14"/>
      <c r="K3" s="14"/>
      <c r="L3" s="14"/>
      <c r="M3" s="12" t="s">
        <v>20</v>
      </c>
      <c r="N3" s="14"/>
      <c r="O3" s="14"/>
      <c r="P3" s="14"/>
      <c r="Q3" s="14"/>
      <c r="R3" s="12"/>
      <c r="S3" s="12"/>
    </row>
    <row r="4" spans="2:19" ht="90" thickBot="1" x14ac:dyDescent="0.3">
      <c r="B4" s="10"/>
      <c r="C4" s="11" t="s">
        <v>21</v>
      </c>
      <c r="D4" s="12" t="s">
        <v>22</v>
      </c>
      <c r="E4" s="12" t="s">
        <v>23</v>
      </c>
      <c r="F4" s="12" t="s">
        <v>24</v>
      </c>
      <c r="G4" s="14"/>
      <c r="H4" s="15" t="s">
        <v>25</v>
      </c>
      <c r="I4" s="14"/>
      <c r="J4" s="14"/>
      <c r="K4" s="12" t="e">
        <f>VLOOKUP(C4,[1]Validation!E:V,14,FALSE)</f>
        <v>#N/A</v>
      </c>
      <c r="L4" s="12" t="e">
        <f>VLOOKUP(C4,[1]Validation!E:W,14,FALSE)</f>
        <v>#N/A</v>
      </c>
      <c r="M4" s="12" t="s">
        <v>20</v>
      </c>
      <c r="N4" s="12" t="s">
        <v>26</v>
      </c>
      <c r="O4" s="12"/>
      <c r="P4" s="12" t="s">
        <v>27</v>
      </c>
      <c r="Q4" s="12" t="s">
        <v>28</v>
      </c>
      <c r="R4" s="10"/>
      <c r="S4" s="12" t="s">
        <v>29</v>
      </c>
    </row>
    <row r="5" spans="2:19" ht="22.5" customHeight="1" thickBot="1" x14ac:dyDescent="0.3">
      <c r="B5" s="16" t="s">
        <v>30</v>
      </c>
      <c r="C5" s="17"/>
      <c r="D5" s="17"/>
      <c r="E5" s="17"/>
      <c r="F5" s="17"/>
      <c r="G5" s="17"/>
      <c r="H5" s="17"/>
      <c r="I5" s="17"/>
      <c r="J5" s="18"/>
      <c r="K5" s="19"/>
      <c r="L5" s="19"/>
      <c r="M5" s="19"/>
      <c r="N5" s="19"/>
      <c r="O5" s="19"/>
      <c r="P5" s="19"/>
      <c r="Q5" s="12"/>
      <c r="R5" s="20"/>
      <c r="S5" s="12"/>
    </row>
    <row r="6" spans="2:19" ht="16.5" thickBot="1" x14ac:dyDescent="0.3">
      <c r="B6" s="21" t="s">
        <v>31</v>
      </c>
      <c r="C6" s="22"/>
      <c r="D6" s="22"/>
      <c r="E6" s="22"/>
      <c r="F6" s="22"/>
      <c r="G6" s="22"/>
      <c r="H6" s="22"/>
      <c r="I6" s="22"/>
      <c r="J6" s="22"/>
      <c r="K6" s="22"/>
      <c r="L6" s="22"/>
      <c r="M6" s="22"/>
      <c r="N6" s="22"/>
      <c r="O6" s="22"/>
      <c r="P6" s="22"/>
      <c r="Q6" s="23"/>
      <c r="R6" s="12"/>
      <c r="S6" s="12"/>
    </row>
    <row r="7" spans="2:19" ht="383.25" thickBot="1" x14ac:dyDescent="0.3">
      <c r="B7" s="10"/>
      <c r="C7" s="11" t="s">
        <v>32</v>
      </c>
      <c r="D7" s="12" t="s">
        <v>33</v>
      </c>
      <c r="E7" s="12" t="s">
        <v>18</v>
      </c>
      <c r="F7" s="13" t="s">
        <v>34</v>
      </c>
      <c r="G7" s="12"/>
      <c r="H7" s="15"/>
      <c r="I7" s="12"/>
      <c r="J7" s="12"/>
      <c r="K7" s="12" t="e">
        <f>VLOOKUP(C7,[1]Validation!E:V,14,FALSE)</f>
        <v>#N/A</v>
      </c>
      <c r="L7" s="12" t="e">
        <f>VLOOKUP(C7,[1]Validation!E:W,14,FALSE)</f>
        <v>#N/A</v>
      </c>
      <c r="M7" s="12" t="s">
        <v>20</v>
      </c>
      <c r="N7" s="12" t="s">
        <v>35</v>
      </c>
      <c r="O7" s="12"/>
      <c r="P7" s="12" t="s">
        <v>36</v>
      </c>
      <c r="Q7" s="12" t="s">
        <v>37</v>
      </c>
      <c r="R7" s="12" t="s">
        <v>38</v>
      </c>
      <c r="S7" s="12" t="s">
        <v>39</v>
      </c>
    </row>
    <row r="8" spans="2:19" ht="39" thickBot="1" x14ac:dyDescent="0.3">
      <c r="B8" s="10"/>
      <c r="C8" s="11" t="s">
        <v>40</v>
      </c>
      <c r="D8" s="12" t="s">
        <v>41</v>
      </c>
      <c r="E8" s="12" t="s">
        <v>23</v>
      </c>
      <c r="F8" s="12" t="s">
        <v>42</v>
      </c>
      <c r="G8" s="12"/>
      <c r="H8" s="15" t="s">
        <v>25</v>
      </c>
      <c r="I8" s="12"/>
      <c r="J8" s="12"/>
      <c r="K8" s="12" t="e">
        <f>VLOOKUP(C8,[1]Validation!E:V,14,FALSE)</f>
        <v>#N/A</v>
      </c>
      <c r="L8" s="12" t="e">
        <f>VLOOKUP(C8,[1]Validation!E:W,14,FALSE)</f>
        <v>#N/A</v>
      </c>
      <c r="M8" s="12" t="s">
        <v>43</v>
      </c>
      <c r="N8" s="12"/>
      <c r="O8" s="12"/>
      <c r="P8" s="12"/>
      <c r="Q8" s="12" t="s">
        <v>44</v>
      </c>
      <c r="R8" s="12"/>
      <c r="S8" s="12"/>
    </row>
    <row r="9" spans="2:19" ht="90" thickBot="1" x14ac:dyDescent="0.3">
      <c r="B9" s="10"/>
      <c r="C9" s="11" t="s">
        <v>45</v>
      </c>
      <c r="D9" s="12" t="s">
        <v>46</v>
      </c>
      <c r="E9" s="12" t="s">
        <v>23</v>
      </c>
      <c r="F9" s="12" t="s">
        <v>47</v>
      </c>
      <c r="G9" s="12"/>
      <c r="H9" s="12" t="s">
        <v>48</v>
      </c>
      <c r="I9" s="12" t="s">
        <v>49</v>
      </c>
      <c r="J9" s="12"/>
      <c r="K9" s="12" t="e">
        <f>VLOOKUP(C9,[1]Validation!E:V,14,FALSE)</f>
        <v>#N/A</v>
      </c>
      <c r="L9" s="12" t="e">
        <f>VLOOKUP(C9,[1]Validation!E:W,14,FALSE)</f>
        <v>#N/A</v>
      </c>
      <c r="M9" s="12" t="s">
        <v>43</v>
      </c>
      <c r="N9" s="12"/>
      <c r="O9" s="12"/>
      <c r="P9" s="12"/>
      <c r="Q9" s="12" t="s">
        <v>44</v>
      </c>
      <c r="R9" s="12"/>
      <c r="S9" s="12"/>
    </row>
    <row r="10" spans="2:19" ht="39" thickBot="1" x14ac:dyDescent="0.3">
      <c r="B10" s="10"/>
      <c r="C10" s="11" t="s">
        <v>50</v>
      </c>
      <c r="D10" s="12" t="s">
        <v>51</v>
      </c>
      <c r="E10" s="12" t="s">
        <v>52</v>
      </c>
      <c r="F10" s="12" t="s">
        <v>53</v>
      </c>
      <c r="G10" s="12"/>
      <c r="H10" s="15" t="s">
        <v>54</v>
      </c>
      <c r="I10" s="12" t="s">
        <v>49</v>
      </c>
      <c r="J10" s="12"/>
      <c r="K10" s="12" t="str">
        <f>VLOOKUP(C10,[1]Validation!E:V,14,FALSE)</f>
        <v xml:space="preserve">number..' should be &gt;0 &amp;=&lt; 7 </v>
      </c>
      <c r="L10" s="12" t="str">
        <f>VLOOKUP(C10,[1]Validation!E:W,15,FALSE)</f>
        <v>NUMBER SEEMS TOO LOW/HIGH. PLEASE CHECK</v>
      </c>
      <c r="M10" s="12" t="s">
        <v>43</v>
      </c>
      <c r="N10" s="12"/>
      <c r="O10" s="12"/>
      <c r="P10" s="12"/>
      <c r="Q10" s="12" t="s">
        <v>55</v>
      </c>
      <c r="R10" s="12"/>
      <c r="S10" s="12"/>
    </row>
    <row r="11" spans="2:19" ht="51.75" thickBot="1" x14ac:dyDescent="0.3">
      <c r="B11" s="10"/>
      <c r="C11" s="11" t="s">
        <v>56</v>
      </c>
      <c r="D11" s="12" t="s">
        <v>57</v>
      </c>
      <c r="E11" s="12" t="s">
        <v>23</v>
      </c>
      <c r="F11" s="12" t="s">
        <v>58</v>
      </c>
      <c r="G11" s="12"/>
      <c r="H11" s="15" t="s">
        <v>25</v>
      </c>
      <c r="I11" s="12"/>
      <c r="J11" s="12"/>
      <c r="K11" s="12" t="e">
        <f>VLOOKUP(C11,[1]Validation!E:V,14,FALSE)</f>
        <v>#N/A</v>
      </c>
      <c r="L11" s="12" t="e">
        <f>VLOOKUP(C11,[1]Validation!E:W,14,FALSE)</f>
        <v>#N/A</v>
      </c>
      <c r="M11" s="12" t="s">
        <v>20</v>
      </c>
      <c r="N11" s="12" t="s">
        <v>35</v>
      </c>
      <c r="O11" s="12"/>
      <c r="P11" s="12" t="s">
        <v>36</v>
      </c>
      <c r="Q11" s="12" t="s">
        <v>44</v>
      </c>
      <c r="R11" s="12"/>
      <c r="S11" s="12"/>
    </row>
    <row r="12" spans="2:19" ht="99" customHeight="1" thickBot="1" x14ac:dyDescent="0.3">
      <c r="B12" s="10"/>
      <c r="C12" s="11" t="s">
        <v>59</v>
      </c>
      <c r="D12" s="12" t="s">
        <v>60</v>
      </c>
      <c r="E12" s="12" t="s">
        <v>23</v>
      </c>
      <c r="F12" s="12" t="s">
        <v>61</v>
      </c>
      <c r="G12" s="12"/>
      <c r="H12" s="15" t="s">
        <v>48</v>
      </c>
      <c r="I12" s="12" t="s">
        <v>62</v>
      </c>
      <c r="J12" s="12"/>
      <c r="K12" s="12" t="e">
        <f>VLOOKUP(C12,[1]Validation!E:V,14,FALSE)</f>
        <v>#N/A</v>
      </c>
      <c r="L12" s="12" t="e">
        <f>VLOOKUP(C12,[1]Validation!E:W,14,FALSE)</f>
        <v>#N/A</v>
      </c>
      <c r="M12" s="12" t="s">
        <v>43</v>
      </c>
      <c r="N12" s="12"/>
      <c r="O12" s="12"/>
      <c r="P12" s="12"/>
      <c r="Q12" s="12" t="s">
        <v>44</v>
      </c>
      <c r="R12" s="12"/>
      <c r="S12" s="12"/>
    </row>
    <row r="13" spans="2:19" ht="39" thickBot="1" x14ac:dyDescent="0.3">
      <c r="B13" s="10"/>
      <c r="C13" s="11" t="s">
        <v>63</v>
      </c>
      <c r="D13" s="12" t="s">
        <v>64</v>
      </c>
      <c r="E13" s="12" t="s">
        <v>52</v>
      </c>
      <c r="F13" s="12" t="s">
        <v>65</v>
      </c>
      <c r="G13" s="12"/>
      <c r="H13" s="15" t="s">
        <v>54</v>
      </c>
      <c r="I13" s="10"/>
      <c r="J13" s="12" t="s">
        <v>62</v>
      </c>
      <c r="K13" s="12" t="str">
        <f>VLOOKUP(C13,[1]Validation!E:V,14,FALSE)</f>
        <v xml:space="preserve">number..' should be &gt;0 &amp;=&lt; 7 </v>
      </c>
      <c r="L13" s="12" t="str">
        <f>VLOOKUP(C13,[1]Validation!E:W,15,FALSE)</f>
        <v>NUMBER SEEMS TOO LOW/HIGH. PLEASE CHECK</v>
      </c>
      <c r="M13" s="12" t="s">
        <v>20</v>
      </c>
      <c r="N13" s="12" t="s">
        <v>26</v>
      </c>
      <c r="O13" s="12"/>
      <c r="P13" s="12" t="s">
        <v>36</v>
      </c>
      <c r="Q13" s="12" t="s">
        <v>55</v>
      </c>
      <c r="R13" s="12"/>
      <c r="S13" s="12"/>
    </row>
    <row r="14" spans="2:19" ht="57" customHeight="1" thickBot="1" x14ac:dyDescent="0.3">
      <c r="B14" s="10"/>
      <c r="C14" s="11" t="s">
        <v>66</v>
      </c>
      <c r="D14" s="12" t="s">
        <v>67</v>
      </c>
      <c r="E14" s="12" t="s">
        <v>23</v>
      </c>
      <c r="F14" s="12" t="s">
        <v>68</v>
      </c>
      <c r="G14" s="12"/>
      <c r="H14" s="15" t="s">
        <v>25</v>
      </c>
      <c r="I14" s="12"/>
      <c r="J14" s="12"/>
      <c r="K14" s="12" t="e">
        <f>VLOOKUP(C14,[1]Validation!E:V,14,FALSE)</f>
        <v>#N/A</v>
      </c>
      <c r="L14" s="12" t="e">
        <f>VLOOKUP(C14,[1]Validation!E:W,14,FALSE)</f>
        <v>#N/A</v>
      </c>
      <c r="M14" s="12" t="s">
        <v>43</v>
      </c>
      <c r="N14" s="12"/>
      <c r="O14" s="12"/>
      <c r="P14" s="12"/>
      <c r="Q14" s="12" t="s">
        <v>44</v>
      </c>
      <c r="R14" s="12"/>
      <c r="S14" s="10"/>
    </row>
    <row r="15" spans="2:19" ht="77.25" thickBot="1" x14ac:dyDescent="0.3">
      <c r="B15" s="10"/>
      <c r="C15" s="11" t="s">
        <v>69</v>
      </c>
      <c r="D15" s="12" t="s">
        <v>70</v>
      </c>
      <c r="E15" s="12" t="s">
        <v>23</v>
      </c>
      <c r="F15" s="12" t="s">
        <v>71</v>
      </c>
      <c r="G15" s="12"/>
      <c r="H15" s="15" t="s">
        <v>48</v>
      </c>
      <c r="I15" s="12" t="s">
        <v>72</v>
      </c>
      <c r="J15" s="12"/>
      <c r="K15" s="12" t="e">
        <f>VLOOKUP(C15,[1]Validation!E:V,14,FALSE)</f>
        <v>#N/A</v>
      </c>
      <c r="L15" s="12" t="e">
        <f>VLOOKUP(C15,[1]Validation!E:W,14,FALSE)</f>
        <v>#N/A</v>
      </c>
      <c r="M15" s="12" t="s">
        <v>43</v>
      </c>
      <c r="N15" s="12"/>
      <c r="O15" s="12"/>
      <c r="P15" s="12"/>
      <c r="Q15" s="12" t="s">
        <v>44</v>
      </c>
      <c r="R15" s="12"/>
      <c r="S15" s="10"/>
    </row>
    <row r="16" spans="2:19" ht="39" thickBot="1" x14ac:dyDescent="0.3">
      <c r="B16" s="10"/>
      <c r="C16" s="11" t="s">
        <v>73</v>
      </c>
      <c r="D16" s="12" t="s">
        <v>74</v>
      </c>
      <c r="E16" s="12" t="s">
        <v>52</v>
      </c>
      <c r="F16" s="12" t="s">
        <v>75</v>
      </c>
      <c r="G16" s="12"/>
      <c r="H16" s="15" t="s">
        <v>54</v>
      </c>
      <c r="I16" s="12" t="s">
        <v>72</v>
      </c>
      <c r="J16" s="12"/>
      <c r="K16" s="12" t="str">
        <f>VLOOKUP(C16,[1]Validation!E:V,14,FALSE)</f>
        <v xml:space="preserve">number..' should be &gt;0 &amp;=&lt; 7 </v>
      </c>
      <c r="L16" s="12" t="str">
        <f>VLOOKUP(C16,[1]Validation!E:W,15,FALSE)</f>
        <v>NUMBER SEEMS TOO LOW/HIGH. PLEASE CHECK</v>
      </c>
      <c r="M16" s="12" t="s">
        <v>43</v>
      </c>
      <c r="N16" s="12"/>
      <c r="O16" s="12"/>
      <c r="P16" s="12"/>
      <c r="Q16" s="12" t="s">
        <v>55</v>
      </c>
      <c r="R16" s="12"/>
      <c r="S16" s="10"/>
    </row>
    <row r="17" spans="2:19" ht="51.75" thickBot="1" x14ac:dyDescent="0.3">
      <c r="B17" s="10"/>
      <c r="C17" s="11" t="s">
        <v>76</v>
      </c>
      <c r="D17" s="12" t="s">
        <v>77</v>
      </c>
      <c r="E17" s="12" t="s">
        <v>23</v>
      </c>
      <c r="F17" s="12" t="s">
        <v>78</v>
      </c>
      <c r="G17" s="12"/>
      <c r="H17" s="15" t="s">
        <v>25</v>
      </c>
      <c r="I17" s="12"/>
      <c r="J17" s="12"/>
      <c r="K17" s="12" t="e">
        <f>VLOOKUP(C17,[1]Validation!E:V,14,FALSE)</f>
        <v>#N/A</v>
      </c>
      <c r="L17" s="12" t="e">
        <f>VLOOKUP(C17,[1]Validation!E:W,14,FALSE)</f>
        <v>#N/A</v>
      </c>
      <c r="M17" s="12" t="s">
        <v>43</v>
      </c>
      <c r="N17" s="12"/>
      <c r="O17" s="12"/>
      <c r="P17" s="12"/>
      <c r="Q17" s="12" t="s">
        <v>44</v>
      </c>
      <c r="R17" s="12"/>
      <c r="S17" s="10"/>
    </row>
    <row r="18" spans="2:19" ht="90" thickBot="1" x14ac:dyDescent="0.3">
      <c r="B18" s="10"/>
      <c r="C18" s="11" t="s">
        <v>79</v>
      </c>
      <c r="D18" s="12" t="s">
        <v>80</v>
      </c>
      <c r="E18" s="12" t="s">
        <v>23</v>
      </c>
      <c r="F18" s="12" t="s">
        <v>81</v>
      </c>
      <c r="G18" s="12"/>
      <c r="H18" s="15" t="s">
        <v>48</v>
      </c>
      <c r="I18" s="12" t="s">
        <v>82</v>
      </c>
      <c r="J18" s="12"/>
      <c r="K18" s="12" t="e">
        <f>VLOOKUP(C18,[1]Validation!E:V,14,FALSE)</f>
        <v>#N/A</v>
      </c>
      <c r="L18" s="12" t="e">
        <f>VLOOKUP(C18,[1]Validation!E:W,14,FALSE)</f>
        <v>#N/A</v>
      </c>
      <c r="M18" s="12" t="s">
        <v>43</v>
      </c>
      <c r="N18" s="12"/>
      <c r="O18" s="12"/>
      <c r="P18" s="12"/>
      <c r="Q18" s="12" t="s">
        <v>44</v>
      </c>
      <c r="R18" s="12"/>
      <c r="S18" s="10"/>
    </row>
    <row r="19" spans="2:19" ht="39" thickBot="1" x14ac:dyDescent="0.3">
      <c r="B19" s="10"/>
      <c r="C19" s="11" t="s">
        <v>83</v>
      </c>
      <c r="D19" s="12" t="s">
        <v>84</v>
      </c>
      <c r="E19" s="12" t="s">
        <v>52</v>
      </c>
      <c r="F19" s="12" t="s">
        <v>85</v>
      </c>
      <c r="G19" s="12"/>
      <c r="H19" s="15" t="s">
        <v>54</v>
      </c>
      <c r="I19" s="12" t="s">
        <v>82</v>
      </c>
      <c r="J19" s="12"/>
      <c r="K19" s="12" t="str">
        <f>VLOOKUP(C19,[1]Validation!E:V,14,FALSE)</f>
        <v xml:space="preserve">number..' should be &gt;0 &amp;=&lt; 7 </v>
      </c>
      <c r="L19" s="12" t="str">
        <f>VLOOKUP(C19,[1]Validation!E:W,15,FALSE)</f>
        <v>NUMBER SEEMS TOO LOW/HIGH. PLEASE CHECK</v>
      </c>
      <c r="M19" s="12" t="s">
        <v>43</v>
      </c>
      <c r="N19" s="12"/>
      <c r="O19" s="12"/>
      <c r="P19" s="12"/>
      <c r="Q19" s="12" t="s">
        <v>55</v>
      </c>
      <c r="R19" s="12"/>
      <c r="S19" s="10"/>
    </row>
    <row r="20" spans="2:19" ht="39" thickBot="1" x14ac:dyDescent="0.3">
      <c r="B20" s="10"/>
      <c r="C20" s="11" t="s">
        <v>86</v>
      </c>
      <c r="D20" s="12" t="s">
        <v>87</v>
      </c>
      <c r="E20" s="12" t="s">
        <v>23</v>
      </c>
      <c r="F20" s="12" t="s">
        <v>88</v>
      </c>
      <c r="G20" s="12"/>
      <c r="H20" s="15" t="s">
        <v>25</v>
      </c>
      <c r="I20" s="12"/>
      <c r="J20" s="12"/>
      <c r="K20" s="12" t="e">
        <f>VLOOKUP(C20,[1]Validation!E:V,14,FALSE)</f>
        <v>#N/A</v>
      </c>
      <c r="L20" s="12" t="e">
        <f>VLOOKUP(C20,[1]Validation!E:W,14,FALSE)</f>
        <v>#N/A</v>
      </c>
      <c r="M20" s="12" t="s">
        <v>20</v>
      </c>
      <c r="N20" s="12" t="s">
        <v>26</v>
      </c>
      <c r="O20" s="12"/>
      <c r="P20" s="12" t="s">
        <v>36</v>
      </c>
      <c r="Q20" s="12" t="s">
        <v>89</v>
      </c>
      <c r="R20" s="12"/>
      <c r="S20" s="10"/>
    </row>
    <row r="21" spans="2:19" ht="90" thickBot="1" x14ac:dyDescent="0.3">
      <c r="B21" s="10"/>
      <c r="C21" s="11" t="s">
        <v>90</v>
      </c>
      <c r="D21" s="12" t="s">
        <v>91</v>
      </c>
      <c r="E21" s="12" t="s">
        <v>23</v>
      </c>
      <c r="F21" s="12" t="s">
        <v>92</v>
      </c>
      <c r="G21" s="12"/>
      <c r="H21" s="15" t="s">
        <v>48</v>
      </c>
      <c r="I21" s="24" t="s">
        <v>93</v>
      </c>
      <c r="J21" s="12"/>
      <c r="K21" s="12" t="e">
        <f>VLOOKUP(C21,[1]Validation!E:V,14,FALSE)</f>
        <v>#N/A</v>
      </c>
      <c r="L21" s="12" t="e">
        <f>VLOOKUP(C21,[1]Validation!E:W,14,FALSE)</f>
        <v>#N/A</v>
      </c>
      <c r="M21" s="12" t="s">
        <v>43</v>
      </c>
      <c r="N21" s="12"/>
      <c r="O21" s="12"/>
      <c r="P21" s="12"/>
      <c r="Q21" s="12" t="s">
        <v>44</v>
      </c>
      <c r="R21" s="12"/>
      <c r="S21" s="10"/>
    </row>
    <row r="22" spans="2:19" ht="51.75" thickBot="1" x14ac:dyDescent="0.3">
      <c r="B22" s="10"/>
      <c r="C22" s="11" t="s">
        <v>94</v>
      </c>
      <c r="D22" s="12" t="s">
        <v>95</v>
      </c>
      <c r="E22" s="12" t="s">
        <v>52</v>
      </c>
      <c r="F22" s="12" t="s">
        <v>96</v>
      </c>
      <c r="G22" s="12"/>
      <c r="H22" s="25" t="s">
        <v>54</v>
      </c>
      <c r="I22" s="10"/>
      <c r="J22" s="12" t="s">
        <v>93</v>
      </c>
      <c r="K22" s="12" t="str">
        <f>VLOOKUP(C22,[1]Validation!E:V,14,FALSE)</f>
        <v xml:space="preserve">number..' should be &gt;0 &amp;=&lt; 7 </v>
      </c>
      <c r="L22" s="12" t="str">
        <f>VLOOKUP(C22,[1]Validation!E:W,15,FALSE)</f>
        <v>NUMBER SEEMS TOO LOW/HIGH. PLEASE CHECK</v>
      </c>
      <c r="M22" s="12" t="s">
        <v>20</v>
      </c>
      <c r="N22" s="12" t="s">
        <v>26</v>
      </c>
      <c r="O22" s="12"/>
      <c r="P22" s="12" t="s">
        <v>36</v>
      </c>
      <c r="Q22" s="12" t="s">
        <v>55</v>
      </c>
      <c r="R22" s="12"/>
      <c r="S22" s="10"/>
    </row>
    <row r="23" spans="2:19" ht="51.75" thickBot="1" x14ac:dyDescent="0.3">
      <c r="B23" s="10"/>
      <c r="C23" s="11" t="s">
        <v>97</v>
      </c>
      <c r="D23" s="12" t="s">
        <v>98</v>
      </c>
      <c r="E23" s="12" t="s">
        <v>23</v>
      </c>
      <c r="F23" s="12" t="s">
        <v>99</v>
      </c>
      <c r="G23" s="12"/>
      <c r="H23" s="15" t="s">
        <v>25</v>
      </c>
      <c r="I23" s="12"/>
      <c r="J23" s="12"/>
      <c r="K23" s="12" t="e">
        <f>VLOOKUP(C23,[1]Validation!E:V,14,FALSE)</f>
        <v>#N/A</v>
      </c>
      <c r="L23" s="12" t="e">
        <f>VLOOKUP(C23,[1]Validation!E:W,14,FALSE)</f>
        <v>#N/A</v>
      </c>
      <c r="M23" s="12" t="s">
        <v>20</v>
      </c>
      <c r="N23" s="12" t="s">
        <v>26</v>
      </c>
      <c r="O23" s="12"/>
      <c r="P23" s="12" t="s">
        <v>36</v>
      </c>
      <c r="Q23" s="12" t="s">
        <v>44</v>
      </c>
      <c r="R23" s="12"/>
      <c r="S23" s="10"/>
    </row>
    <row r="24" spans="2:19" ht="90" thickBot="1" x14ac:dyDescent="0.3">
      <c r="B24" s="10"/>
      <c r="C24" s="11" t="s">
        <v>100</v>
      </c>
      <c r="D24" s="12" t="s">
        <v>101</v>
      </c>
      <c r="E24" s="12" t="s">
        <v>23</v>
      </c>
      <c r="F24" s="12" t="s">
        <v>102</v>
      </c>
      <c r="G24" s="12"/>
      <c r="H24" s="15" t="s">
        <v>48</v>
      </c>
      <c r="I24" s="24" t="s">
        <v>103</v>
      </c>
      <c r="J24" s="12"/>
      <c r="K24" s="12" t="e">
        <f>VLOOKUP(C24,[1]Validation!E:V,14,FALSE)</f>
        <v>#N/A</v>
      </c>
      <c r="L24" s="12" t="e">
        <f>VLOOKUP(C24,[1]Validation!E:W,14,FALSE)</f>
        <v>#N/A</v>
      </c>
      <c r="M24" s="12" t="s">
        <v>43</v>
      </c>
      <c r="N24" s="12"/>
      <c r="O24" s="12"/>
      <c r="P24" s="12"/>
      <c r="Q24" s="12" t="s">
        <v>44</v>
      </c>
      <c r="R24" s="12"/>
      <c r="S24" s="10"/>
    </row>
    <row r="25" spans="2:19" ht="39" thickBot="1" x14ac:dyDescent="0.3">
      <c r="B25" s="10"/>
      <c r="C25" s="11" t="s">
        <v>104</v>
      </c>
      <c r="D25" s="12" t="s">
        <v>105</v>
      </c>
      <c r="E25" s="12" t="s">
        <v>52</v>
      </c>
      <c r="F25" s="12" t="s">
        <v>106</v>
      </c>
      <c r="G25" s="12"/>
      <c r="H25" s="25" t="s">
        <v>54</v>
      </c>
      <c r="I25" s="10"/>
      <c r="J25" s="12" t="s">
        <v>103</v>
      </c>
      <c r="K25" s="12" t="str">
        <f>VLOOKUP(C25,[1]Validation!E:V,14,FALSE)</f>
        <v xml:space="preserve">number..' should be &gt;0 &amp;=&lt; 7 </v>
      </c>
      <c r="L25" s="12" t="str">
        <f>VLOOKUP(C25,[1]Validation!E:W,15,FALSE)</f>
        <v>NUMBER SEEMS TOO LOW/HIGH. PLEASE CHECK</v>
      </c>
      <c r="M25" s="12" t="s">
        <v>20</v>
      </c>
      <c r="N25" s="12" t="s">
        <v>26</v>
      </c>
      <c r="O25" s="12"/>
      <c r="P25" s="12" t="s">
        <v>36</v>
      </c>
      <c r="Q25" s="12" t="s">
        <v>55</v>
      </c>
      <c r="R25" s="12"/>
      <c r="S25" s="10"/>
    </row>
    <row r="26" spans="2:19" ht="90" thickBot="1" x14ac:dyDescent="0.3">
      <c r="B26" s="10"/>
      <c r="C26" s="11" t="s">
        <v>107</v>
      </c>
      <c r="D26" s="12" t="s">
        <v>108</v>
      </c>
      <c r="E26" s="12" t="s">
        <v>23</v>
      </c>
      <c r="F26" s="12" t="s">
        <v>109</v>
      </c>
      <c r="G26" s="12"/>
      <c r="H26" s="15" t="s">
        <v>25</v>
      </c>
      <c r="I26" s="26" t="s">
        <v>110</v>
      </c>
      <c r="J26" s="26"/>
      <c r="K26" s="12" t="e">
        <f>VLOOKUP(C26,[1]Validation!E:V,14,FALSE)</f>
        <v>#N/A</v>
      </c>
      <c r="L26" s="12" t="e">
        <f>VLOOKUP(C26,[1]Validation!E:W,14,FALSE)</f>
        <v>#N/A</v>
      </c>
      <c r="M26" s="12" t="s">
        <v>20</v>
      </c>
      <c r="N26" s="12" t="s">
        <v>26</v>
      </c>
      <c r="O26" s="12"/>
      <c r="P26" s="12" t="s">
        <v>36</v>
      </c>
      <c r="Q26" s="12" t="s">
        <v>89</v>
      </c>
      <c r="R26" s="12"/>
      <c r="S26" s="10"/>
    </row>
    <row r="27" spans="2:19" ht="90" thickBot="1" x14ac:dyDescent="0.3">
      <c r="B27" s="10"/>
      <c r="C27" s="11" t="s">
        <v>111</v>
      </c>
      <c r="D27" s="12" t="s">
        <v>112</v>
      </c>
      <c r="E27" s="12" t="s">
        <v>23</v>
      </c>
      <c r="F27" s="12" t="s">
        <v>113</v>
      </c>
      <c r="G27" s="12"/>
      <c r="H27" s="15" t="s">
        <v>48</v>
      </c>
      <c r="I27" s="24" t="s">
        <v>114</v>
      </c>
      <c r="J27" s="12"/>
      <c r="K27" s="12" t="e">
        <f>VLOOKUP(C27,[1]Validation!E:V,14,FALSE)</f>
        <v>#N/A</v>
      </c>
      <c r="L27" s="12" t="e">
        <f>VLOOKUP(C27,[1]Validation!E:W,14,FALSE)</f>
        <v>#N/A</v>
      </c>
      <c r="M27" s="12" t="s">
        <v>43</v>
      </c>
      <c r="N27" s="12"/>
      <c r="O27" s="12"/>
      <c r="P27" s="12"/>
      <c r="Q27" s="12" t="s">
        <v>44</v>
      </c>
      <c r="R27" s="12"/>
      <c r="S27" s="10"/>
    </row>
    <row r="28" spans="2:19" ht="39" thickBot="1" x14ac:dyDescent="0.3">
      <c r="B28" s="10"/>
      <c r="C28" s="11" t="s">
        <v>115</v>
      </c>
      <c r="D28" s="12" t="s">
        <v>116</v>
      </c>
      <c r="E28" s="12" t="s">
        <v>52</v>
      </c>
      <c r="F28" s="12" t="s">
        <v>117</v>
      </c>
      <c r="G28" s="12"/>
      <c r="H28" s="25" t="s">
        <v>54</v>
      </c>
      <c r="I28" s="10"/>
      <c r="J28" s="12" t="s">
        <v>114</v>
      </c>
      <c r="K28" s="12" t="str">
        <f>VLOOKUP(C28,[1]Validation!E:V,14,FALSE)</f>
        <v xml:space="preserve">number..' should be &gt;0 &amp;=&lt; 7 </v>
      </c>
      <c r="L28" s="12" t="str">
        <f>VLOOKUP(C28,[1]Validation!E:W,15,FALSE)</f>
        <v>NUMBER SEEMS TOO LOW/HIGH. PLEASE CHECK</v>
      </c>
      <c r="M28" s="12" t="s">
        <v>20</v>
      </c>
      <c r="N28" s="12" t="s">
        <v>26</v>
      </c>
      <c r="O28" s="12"/>
      <c r="P28" s="12" t="s">
        <v>36</v>
      </c>
      <c r="Q28" s="12" t="s">
        <v>55</v>
      </c>
      <c r="R28" s="12"/>
      <c r="S28" s="10"/>
    </row>
    <row r="29" spans="2:19" ht="51.75" thickBot="1" x14ac:dyDescent="0.3">
      <c r="B29" s="10"/>
      <c r="C29" s="11" t="s">
        <v>118</v>
      </c>
      <c r="D29" s="12" t="s">
        <v>119</v>
      </c>
      <c r="E29" s="12" t="s">
        <v>23</v>
      </c>
      <c r="F29" s="12" t="s">
        <v>120</v>
      </c>
      <c r="G29" s="12"/>
      <c r="H29" s="15" t="s">
        <v>25</v>
      </c>
      <c r="I29" s="12"/>
      <c r="J29" s="12"/>
      <c r="K29" s="12" t="e">
        <f>VLOOKUP(C29,[1]Validation!E:V,14,FALSE)</f>
        <v>#N/A</v>
      </c>
      <c r="L29" s="12" t="e">
        <f>VLOOKUP(C29,[1]Validation!E:W,14,FALSE)</f>
        <v>#N/A</v>
      </c>
      <c r="M29" s="12" t="s">
        <v>20</v>
      </c>
      <c r="N29" s="12" t="s">
        <v>26</v>
      </c>
      <c r="O29" s="12"/>
      <c r="P29" s="12" t="s">
        <v>36</v>
      </c>
      <c r="Q29" s="12" t="s">
        <v>44</v>
      </c>
      <c r="R29" s="12"/>
      <c r="S29" s="10"/>
    </row>
    <row r="30" spans="2:19" ht="77.25" thickBot="1" x14ac:dyDescent="0.3">
      <c r="B30" s="10"/>
      <c r="C30" s="11" t="s">
        <v>121</v>
      </c>
      <c r="D30" s="12" t="s">
        <v>122</v>
      </c>
      <c r="E30" s="12" t="s">
        <v>23</v>
      </c>
      <c r="F30" s="12" t="s">
        <v>123</v>
      </c>
      <c r="G30" s="12"/>
      <c r="H30" s="15" t="s">
        <v>48</v>
      </c>
      <c r="I30" s="24" t="s">
        <v>124</v>
      </c>
      <c r="J30" s="12"/>
      <c r="K30" s="12" t="e">
        <f>VLOOKUP(C30,[1]Validation!E:V,14,FALSE)</f>
        <v>#N/A</v>
      </c>
      <c r="L30" s="12" t="e">
        <f>VLOOKUP(C30,[1]Validation!E:W,14,FALSE)</f>
        <v>#N/A</v>
      </c>
      <c r="M30" s="12" t="s">
        <v>43</v>
      </c>
      <c r="N30" s="12"/>
      <c r="O30" s="12"/>
      <c r="P30" s="12"/>
      <c r="Q30" s="12" t="s">
        <v>44</v>
      </c>
      <c r="R30" s="12"/>
      <c r="S30" s="10"/>
    </row>
    <row r="31" spans="2:19" ht="39" thickBot="1" x14ac:dyDescent="0.3">
      <c r="B31" s="10"/>
      <c r="C31" s="11" t="s">
        <v>125</v>
      </c>
      <c r="D31" s="12" t="s">
        <v>126</v>
      </c>
      <c r="E31" s="12" t="s">
        <v>52</v>
      </c>
      <c r="F31" s="12" t="s">
        <v>127</v>
      </c>
      <c r="G31" s="12"/>
      <c r="H31" s="25" t="s">
        <v>54</v>
      </c>
      <c r="I31" s="10"/>
      <c r="J31" s="12" t="s">
        <v>124</v>
      </c>
      <c r="K31" s="12" t="str">
        <f>VLOOKUP(C31,[1]Validation!E:V,14,FALSE)</f>
        <v xml:space="preserve">number..' should be &gt;0 &amp;=&lt; 7 </v>
      </c>
      <c r="L31" s="12" t="str">
        <f>VLOOKUP(C31,[1]Validation!E:W,15,FALSE)</f>
        <v>NUMBER SEEMS TOO LOW/HIGH. PLEASE CHECK</v>
      </c>
      <c r="M31" s="12" t="s">
        <v>20</v>
      </c>
      <c r="N31" s="12" t="s">
        <v>26</v>
      </c>
      <c r="O31" s="12"/>
      <c r="P31" s="12" t="s">
        <v>36</v>
      </c>
      <c r="Q31" s="12" t="s">
        <v>55</v>
      </c>
      <c r="R31" s="12"/>
      <c r="S31" s="10"/>
    </row>
    <row r="32" spans="2:19" ht="102.95" customHeight="1" thickBot="1" x14ac:dyDescent="0.3">
      <c r="B32" s="10"/>
      <c r="C32" s="11"/>
      <c r="D32" s="12" t="s">
        <v>128</v>
      </c>
      <c r="E32" s="12" t="s">
        <v>18</v>
      </c>
      <c r="F32" s="13" t="s">
        <v>129</v>
      </c>
      <c r="G32" s="12"/>
      <c r="H32" s="15"/>
      <c r="I32" s="12"/>
      <c r="J32" s="12"/>
      <c r="K32" s="12"/>
      <c r="L32" s="12"/>
      <c r="M32" s="12" t="s">
        <v>20</v>
      </c>
      <c r="N32" s="12" t="s">
        <v>130</v>
      </c>
      <c r="O32" s="24" t="s">
        <v>131</v>
      </c>
      <c r="P32" s="24"/>
      <c r="Q32" s="12"/>
      <c r="R32" s="12"/>
      <c r="S32" s="10"/>
    </row>
    <row r="33" spans="2:19" ht="57" customHeight="1" thickBot="1" x14ac:dyDescent="0.3">
      <c r="B33" s="10"/>
      <c r="C33" s="11" t="s">
        <v>132</v>
      </c>
      <c r="D33" s="12" t="s">
        <v>133</v>
      </c>
      <c r="E33" s="12" t="s">
        <v>23</v>
      </c>
      <c r="F33" s="12" t="s">
        <v>134</v>
      </c>
      <c r="G33" s="12"/>
      <c r="H33" s="15" t="s">
        <v>25</v>
      </c>
      <c r="I33" s="12"/>
      <c r="J33" s="12"/>
      <c r="K33" s="12" t="e">
        <f>VLOOKUP(C33,[1]Validation!E:V,14,FALSE)</f>
        <v>#N/A</v>
      </c>
      <c r="L33" s="12" t="e">
        <f>VLOOKUP(C33,[1]Validation!E:W,14,FALSE)</f>
        <v>#N/A</v>
      </c>
      <c r="M33" s="12" t="s">
        <v>20</v>
      </c>
      <c r="N33" s="19" t="s">
        <v>130</v>
      </c>
      <c r="O33" s="27" t="s">
        <v>131</v>
      </c>
      <c r="P33" s="10"/>
      <c r="Q33" s="12" t="s">
        <v>44</v>
      </c>
      <c r="R33" s="12"/>
      <c r="S33" s="10"/>
    </row>
    <row r="34" spans="2:19" ht="77.25" thickBot="1" x14ac:dyDescent="0.3">
      <c r="B34" s="10"/>
      <c r="C34" s="11" t="s">
        <v>135</v>
      </c>
      <c r="D34" s="12" t="s">
        <v>136</v>
      </c>
      <c r="E34" s="12" t="s">
        <v>23</v>
      </c>
      <c r="F34" s="12" t="s">
        <v>137</v>
      </c>
      <c r="G34" s="12"/>
      <c r="H34" s="15" t="s">
        <v>48</v>
      </c>
      <c r="I34" s="12" t="s">
        <v>138</v>
      </c>
      <c r="J34" s="12"/>
      <c r="K34" s="12" t="e">
        <f>VLOOKUP(C34,[1]Validation!E:V,14,FALSE)</f>
        <v>#N/A</v>
      </c>
      <c r="L34" s="12" t="e">
        <f>VLOOKUP(C34,[1]Validation!E:W,14,FALSE)</f>
        <v>#N/A</v>
      </c>
      <c r="M34" s="12" t="s">
        <v>20</v>
      </c>
      <c r="N34" s="19" t="s">
        <v>130</v>
      </c>
      <c r="O34" s="27" t="s">
        <v>131</v>
      </c>
      <c r="P34" s="10"/>
      <c r="Q34" s="12" t="s">
        <v>44</v>
      </c>
      <c r="R34" s="12"/>
      <c r="S34" s="10"/>
    </row>
    <row r="35" spans="2:19" ht="39" thickBot="1" x14ac:dyDescent="0.3">
      <c r="B35" s="10"/>
      <c r="C35" s="11" t="s">
        <v>139</v>
      </c>
      <c r="D35" s="12" t="s">
        <v>140</v>
      </c>
      <c r="E35" s="12" t="s">
        <v>52</v>
      </c>
      <c r="F35" s="12" t="s">
        <v>141</v>
      </c>
      <c r="G35" s="12"/>
      <c r="H35" s="15" t="s">
        <v>54</v>
      </c>
      <c r="I35" s="12" t="s">
        <v>138</v>
      </c>
      <c r="J35" s="12"/>
      <c r="K35" s="12" t="str">
        <f>VLOOKUP(C35,[1]Validation!E:V,14,FALSE)</f>
        <v xml:space="preserve">number..' should be &gt;0 &amp;=&lt; 7 </v>
      </c>
      <c r="L35" s="12" t="str">
        <f>VLOOKUP(C35,[1]Validation!E:W,15,FALSE)</f>
        <v>NUMBER SEEMS TOO LOW/HIGH. PLEASE CHECK</v>
      </c>
      <c r="M35" s="12" t="s">
        <v>43</v>
      </c>
      <c r="N35" s="12"/>
      <c r="O35" s="12"/>
      <c r="P35" s="12"/>
      <c r="Q35" s="12" t="s">
        <v>55</v>
      </c>
      <c r="R35" s="12"/>
      <c r="S35" s="10"/>
    </row>
    <row r="36" spans="2:19" ht="57" customHeight="1" thickBot="1" x14ac:dyDescent="0.3">
      <c r="B36" s="10"/>
      <c r="C36" s="11" t="s">
        <v>142</v>
      </c>
      <c r="D36" s="12" t="s">
        <v>143</v>
      </c>
      <c r="E36" s="12" t="s">
        <v>23</v>
      </c>
      <c r="F36" s="12" t="s">
        <v>144</v>
      </c>
      <c r="G36" s="12"/>
      <c r="H36" s="15" t="s">
        <v>25</v>
      </c>
      <c r="I36" s="12"/>
      <c r="J36" s="12"/>
      <c r="K36" s="12" t="e">
        <f>VLOOKUP(C36,[1]Validation!E:V,14,FALSE)</f>
        <v>#N/A</v>
      </c>
      <c r="L36" s="12" t="e">
        <f>VLOOKUP(C36,[1]Validation!E:W,14,FALSE)</f>
        <v>#N/A</v>
      </c>
      <c r="M36" s="12" t="s">
        <v>20</v>
      </c>
      <c r="N36" s="12" t="s">
        <v>130</v>
      </c>
      <c r="O36" s="12" t="s">
        <v>131</v>
      </c>
      <c r="P36" s="12"/>
      <c r="Q36" s="12" t="s">
        <v>44</v>
      </c>
      <c r="R36" s="12"/>
      <c r="S36" s="10"/>
    </row>
    <row r="37" spans="2:19" ht="77.25" thickBot="1" x14ac:dyDescent="0.3">
      <c r="B37" s="10"/>
      <c r="C37" s="11" t="s">
        <v>145</v>
      </c>
      <c r="D37" s="12" t="s">
        <v>146</v>
      </c>
      <c r="E37" s="12" t="s">
        <v>23</v>
      </c>
      <c r="F37" s="12" t="s">
        <v>147</v>
      </c>
      <c r="G37" s="12"/>
      <c r="H37" s="15" t="s">
        <v>48</v>
      </c>
      <c r="I37" s="12" t="s">
        <v>148</v>
      </c>
      <c r="J37" s="12"/>
      <c r="K37" s="12" t="e">
        <f>VLOOKUP(C37,[1]Validation!E:V,14,FALSE)</f>
        <v>#N/A</v>
      </c>
      <c r="L37" s="12" t="e">
        <f>VLOOKUP(C37,[1]Validation!E:W,14,FALSE)</f>
        <v>#N/A</v>
      </c>
      <c r="M37" s="12" t="s">
        <v>20</v>
      </c>
      <c r="N37" s="12" t="s">
        <v>130</v>
      </c>
      <c r="O37" s="12" t="s">
        <v>131</v>
      </c>
      <c r="P37" s="12"/>
      <c r="Q37" s="12" t="s">
        <v>44</v>
      </c>
      <c r="R37" s="12"/>
      <c r="S37" s="10"/>
    </row>
    <row r="38" spans="2:19" ht="39" thickBot="1" x14ac:dyDescent="0.3">
      <c r="B38" s="10"/>
      <c r="C38" s="11" t="s">
        <v>149</v>
      </c>
      <c r="D38" s="12" t="s">
        <v>150</v>
      </c>
      <c r="E38" s="12" t="s">
        <v>52</v>
      </c>
      <c r="F38" s="12" t="s">
        <v>151</v>
      </c>
      <c r="G38" s="12"/>
      <c r="H38" s="15" t="s">
        <v>54</v>
      </c>
      <c r="I38" s="12" t="s">
        <v>148</v>
      </c>
      <c r="J38" s="12"/>
      <c r="K38" s="12" t="str">
        <f>VLOOKUP(C38,[1]Validation!E:V,14,FALSE)</f>
        <v xml:space="preserve">number..' should be &gt;0 &amp;=&lt; 7 </v>
      </c>
      <c r="L38" s="12" t="str">
        <f>VLOOKUP(C38,[1]Validation!E:W,15,FALSE)</f>
        <v>NUMBER SEEMS TOO LOW/HIGH. PLEASE CHECK</v>
      </c>
      <c r="M38" s="12" t="s">
        <v>43</v>
      </c>
      <c r="N38" s="12"/>
      <c r="O38" s="12"/>
      <c r="P38" s="12"/>
      <c r="Q38" s="12" t="s">
        <v>55</v>
      </c>
      <c r="R38" s="12"/>
      <c r="S38" s="10"/>
    </row>
    <row r="39" spans="2:19" ht="51.75" thickBot="1" x14ac:dyDescent="0.3">
      <c r="B39" s="10"/>
      <c r="C39" s="11" t="s">
        <v>152</v>
      </c>
      <c r="D39" s="12" t="s">
        <v>153</v>
      </c>
      <c r="E39" s="12" t="s">
        <v>23</v>
      </c>
      <c r="F39" s="12" t="s">
        <v>154</v>
      </c>
      <c r="G39" s="12"/>
      <c r="H39" s="15" t="s">
        <v>25</v>
      </c>
      <c r="I39" s="12"/>
      <c r="J39" s="12"/>
      <c r="K39" s="12" t="e">
        <f>VLOOKUP(C39,[1]Validation!E:V,14,FALSE)</f>
        <v>#N/A</v>
      </c>
      <c r="L39" s="12" t="e">
        <f>VLOOKUP(C39,[1]Validation!E:W,14,FALSE)</f>
        <v>#N/A</v>
      </c>
      <c r="M39" s="12" t="s">
        <v>20</v>
      </c>
      <c r="N39" s="12" t="s">
        <v>130</v>
      </c>
      <c r="O39" s="12" t="s">
        <v>131</v>
      </c>
      <c r="P39" s="12"/>
      <c r="Q39" s="12" t="s">
        <v>44</v>
      </c>
      <c r="R39" s="12"/>
      <c r="S39" s="10"/>
    </row>
    <row r="40" spans="2:19" ht="90" thickBot="1" x14ac:dyDescent="0.3">
      <c r="B40" s="10"/>
      <c r="C40" s="11" t="s">
        <v>155</v>
      </c>
      <c r="D40" s="12" t="s">
        <v>156</v>
      </c>
      <c r="E40" s="12" t="s">
        <v>23</v>
      </c>
      <c r="F40" s="12" t="s">
        <v>157</v>
      </c>
      <c r="G40" s="12"/>
      <c r="H40" s="15" t="s">
        <v>48</v>
      </c>
      <c r="I40" s="12" t="s">
        <v>158</v>
      </c>
      <c r="J40" s="12"/>
      <c r="K40" s="12" t="e">
        <f>VLOOKUP(C40,[1]Validation!E:V,14,FALSE)</f>
        <v>#N/A</v>
      </c>
      <c r="L40" s="12" t="e">
        <f>VLOOKUP(C40,[1]Validation!E:W,14,FALSE)</f>
        <v>#N/A</v>
      </c>
      <c r="M40" s="12" t="s">
        <v>20</v>
      </c>
      <c r="N40" s="12" t="s">
        <v>130</v>
      </c>
      <c r="O40" s="12" t="s">
        <v>131</v>
      </c>
      <c r="P40" s="12"/>
      <c r="Q40" s="12" t="s">
        <v>44</v>
      </c>
      <c r="R40" s="12"/>
      <c r="S40" s="10"/>
    </row>
    <row r="41" spans="2:19" ht="39" thickBot="1" x14ac:dyDescent="0.3">
      <c r="B41" s="10"/>
      <c r="C41" s="11" t="s">
        <v>159</v>
      </c>
      <c r="D41" s="12" t="s">
        <v>160</v>
      </c>
      <c r="E41" s="12" t="s">
        <v>52</v>
      </c>
      <c r="F41" s="12" t="s">
        <v>161</v>
      </c>
      <c r="G41" s="12"/>
      <c r="H41" s="15" t="s">
        <v>54</v>
      </c>
      <c r="I41" s="12" t="s">
        <v>158</v>
      </c>
      <c r="J41" s="12"/>
      <c r="K41" s="12" t="str">
        <f>VLOOKUP(C41,[1]Validation!E:V,14,FALSE)</f>
        <v xml:space="preserve">number..' should be &gt;0 &amp;=&lt; 7 </v>
      </c>
      <c r="L41" s="12" t="str">
        <f>VLOOKUP(C41,[1]Validation!E:W,15,FALSE)</f>
        <v>NUMBER SEEMS TOO LOW/HIGH. PLEASE CHECK</v>
      </c>
      <c r="M41" s="12" t="s">
        <v>43</v>
      </c>
      <c r="N41" s="12"/>
      <c r="O41" s="12"/>
      <c r="P41" s="12"/>
      <c r="Q41" s="12" t="s">
        <v>55</v>
      </c>
      <c r="R41" s="12"/>
      <c r="S41" s="10"/>
    </row>
    <row r="42" spans="2:19" ht="19.5" thickBot="1" x14ac:dyDescent="0.35">
      <c r="B42" s="28" t="s">
        <v>162</v>
      </c>
      <c r="C42" s="29"/>
      <c r="D42" s="29"/>
      <c r="E42" s="29"/>
      <c r="F42" s="29"/>
      <c r="G42" s="29"/>
      <c r="H42" s="30"/>
      <c r="I42" s="30"/>
      <c r="J42" s="30"/>
      <c r="K42" s="29"/>
      <c r="L42" s="29"/>
      <c r="M42" s="29"/>
      <c r="N42" s="29"/>
      <c r="O42" s="29"/>
      <c r="P42" s="29"/>
      <c r="Q42" s="31"/>
      <c r="R42" s="27"/>
      <c r="S42" s="10"/>
    </row>
    <row r="43" spans="2:19" ht="16.5" thickBot="1" x14ac:dyDescent="0.3">
      <c r="B43" s="32" t="s">
        <v>163</v>
      </c>
      <c r="C43" s="33"/>
      <c r="D43" s="33"/>
      <c r="E43" s="33"/>
      <c r="F43" s="33"/>
      <c r="G43" s="33"/>
      <c r="H43" s="33"/>
      <c r="I43" s="33"/>
      <c r="J43" s="34"/>
      <c r="K43" s="35"/>
      <c r="L43" s="35"/>
      <c r="M43" s="35"/>
      <c r="N43" s="35"/>
      <c r="O43" s="35"/>
      <c r="P43" s="35"/>
      <c r="Q43" s="20"/>
      <c r="R43" s="12"/>
      <c r="S43" s="10"/>
    </row>
    <row r="44" spans="2:19" ht="141" thickBot="1" x14ac:dyDescent="0.3">
      <c r="B44" s="10"/>
      <c r="C44" s="11" t="s">
        <v>164</v>
      </c>
      <c r="D44" s="12" t="s">
        <v>165</v>
      </c>
      <c r="E44" s="12" t="s">
        <v>23</v>
      </c>
      <c r="F44" s="13" t="s">
        <v>166</v>
      </c>
      <c r="G44" s="19" t="s">
        <v>167</v>
      </c>
      <c r="H44" s="36"/>
      <c r="I44" s="27"/>
      <c r="J44" s="12"/>
      <c r="K44" s="12" t="e">
        <f>VLOOKUP(C44,[1]Validation!E:V,14,FALSE)</f>
        <v>#N/A</v>
      </c>
      <c r="L44" s="12" t="e">
        <f>VLOOKUP(C44,[1]Validation!E:W,14,FALSE)</f>
        <v>#N/A</v>
      </c>
      <c r="M44" s="12" t="s">
        <v>20</v>
      </c>
      <c r="N44" s="12" t="s">
        <v>168</v>
      </c>
      <c r="O44" s="12" t="s">
        <v>169</v>
      </c>
      <c r="P44" s="12"/>
      <c r="Q44" s="12" t="s">
        <v>170</v>
      </c>
      <c r="R44" s="12" t="s">
        <v>171</v>
      </c>
      <c r="S44" s="37" t="s">
        <v>172</v>
      </c>
    </row>
    <row r="45" spans="2:19" ht="102.75" thickBot="1" x14ac:dyDescent="0.3">
      <c r="B45" s="10"/>
      <c r="C45" s="11" t="s">
        <v>173</v>
      </c>
      <c r="D45" s="12" t="s">
        <v>143</v>
      </c>
      <c r="E45" s="12" t="s">
        <v>23</v>
      </c>
      <c r="F45" s="12" t="s">
        <v>174</v>
      </c>
      <c r="G45" s="12"/>
      <c r="H45" s="11" t="s">
        <v>175</v>
      </c>
      <c r="I45" s="38" t="s">
        <v>176</v>
      </c>
      <c r="J45" s="39"/>
      <c r="K45" s="12" t="e">
        <f>VLOOKUP(C45,[1]Validation!E:V,14,FALSE)</f>
        <v>#N/A</v>
      </c>
      <c r="L45" s="12" t="e">
        <f>VLOOKUP(C45,[1]Validation!E:W,14,FALSE)</f>
        <v>#N/A</v>
      </c>
      <c r="M45" s="12" t="s">
        <v>43</v>
      </c>
      <c r="N45" s="12"/>
      <c r="O45" s="12"/>
      <c r="P45" s="12"/>
      <c r="Q45" s="12" t="s">
        <v>177</v>
      </c>
      <c r="R45" s="12"/>
      <c r="S45" s="10"/>
    </row>
    <row r="46" spans="2:19" ht="102.75" thickBot="1" x14ac:dyDescent="0.3">
      <c r="B46" s="10"/>
      <c r="C46" s="11" t="s">
        <v>178</v>
      </c>
      <c r="D46" s="12" t="s">
        <v>179</v>
      </c>
      <c r="E46" s="12" t="s">
        <v>23</v>
      </c>
      <c r="F46" s="40" t="s">
        <v>180</v>
      </c>
      <c r="G46" s="12"/>
      <c r="H46" s="12" t="s">
        <v>175</v>
      </c>
      <c r="I46" s="41"/>
      <c r="J46" s="42"/>
      <c r="K46" s="12" t="e">
        <f>VLOOKUP(C46,[1]Validation!E:V,14,FALSE)</f>
        <v>#N/A</v>
      </c>
      <c r="L46" s="12" t="e">
        <f>VLOOKUP(C46,[1]Validation!E:W,14,FALSE)</f>
        <v>#N/A</v>
      </c>
      <c r="M46" s="12" t="s">
        <v>20</v>
      </c>
      <c r="N46" s="12" t="s">
        <v>130</v>
      </c>
      <c r="O46" s="12" t="s">
        <v>169</v>
      </c>
      <c r="P46" s="12"/>
      <c r="Q46" s="12" t="s">
        <v>177</v>
      </c>
      <c r="R46" s="12"/>
      <c r="S46" s="10"/>
    </row>
    <row r="47" spans="2:19" ht="115.5" thickBot="1" x14ac:dyDescent="0.3">
      <c r="B47" s="10"/>
      <c r="C47" s="11" t="s">
        <v>181</v>
      </c>
      <c r="D47" s="12" t="s">
        <v>150</v>
      </c>
      <c r="E47" s="12" t="s">
        <v>23</v>
      </c>
      <c r="F47" s="12" t="s">
        <v>182</v>
      </c>
      <c r="G47" s="12"/>
      <c r="H47" s="12" t="s">
        <v>175</v>
      </c>
      <c r="I47" s="12" t="s">
        <v>183</v>
      </c>
      <c r="J47" s="12"/>
      <c r="K47" s="12" t="e">
        <f>VLOOKUP(C47,[1]Validation!E:V,14,FALSE)</f>
        <v>#N/A</v>
      </c>
      <c r="L47" s="12" t="e">
        <f>VLOOKUP(C47,[1]Validation!E:W,14,FALSE)</f>
        <v>#N/A</v>
      </c>
      <c r="M47" s="12" t="s">
        <v>43</v>
      </c>
      <c r="N47" s="12"/>
      <c r="O47" s="12"/>
      <c r="P47" s="12"/>
      <c r="Q47" s="12" t="s">
        <v>177</v>
      </c>
      <c r="R47" s="12"/>
      <c r="S47" s="10"/>
    </row>
    <row r="48" spans="2:19" ht="128.25" thickBot="1" x14ac:dyDescent="0.3">
      <c r="B48" s="10"/>
      <c r="C48" s="11" t="s">
        <v>184</v>
      </c>
      <c r="D48" s="12" t="s">
        <v>185</v>
      </c>
      <c r="E48" s="12" t="s">
        <v>23</v>
      </c>
      <c r="F48" s="12" t="s">
        <v>186</v>
      </c>
      <c r="G48" s="12"/>
      <c r="H48" s="24" t="s">
        <v>187</v>
      </c>
      <c r="I48" s="24" t="s">
        <v>188</v>
      </c>
      <c r="J48" s="24"/>
      <c r="K48" s="12" t="e">
        <f>VLOOKUP(C48,[1]Validation!E:V,14,FALSE)</f>
        <v>#N/A</v>
      </c>
      <c r="L48" s="12" t="e">
        <f>VLOOKUP(C48,[1]Validation!E:W,14,FALSE)</f>
        <v>#N/A</v>
      </c>
      <c r="M48" s="12" t="s">
        <v>43</v>
      </c>
      <c r="N48" s="12"/>
      <c r="O48" s="12"/>
      <c r="P48" s="12"/>
      <c r="Q48" s="12" t="s">
        <v>177</v>
      </c>
      <c r="R48" s="12"/>
      <c r="S48" s="10"/>
    </row>
    <row r="49" spans="2:19" ht="128.25" thickBot="1" x14ac:dyDescent="0.3">
      <c r="B49" s="10"/>
      <c r="C49" s="11" t="s">
        <v>189</v>
      </c>
      <c r="D49" s="12" t="s">
        <v>190</v>
      </c>
      <c r="E49" s="12" t="s">
        <v>23</v>
      </c>
      <c r="F49" s="40" t="s">
        <v>191</v>
      </c>
      <c r="G49" s="19"/>
      <c r="H49" s="27" t="s">
        <v>192</v>
      </c>
      <c r="I49" s="27"/>
      <c r="J49" s="12"/>
      <c r="K49" s="12" t="e">
        <f>VLOOKUP(C49,[1]Validation!E:V,14,FALSE)</f>
        <v>#N/A</v>
      </c>
      <c r="L49" s="12" t="e">
        <f>VLOOKUP(C49,[1]Validation!E:W,14,FALSE)</f>
        <v>#N/A</v>
      </c>
      <c r="M49" s="12" t="s">
        <v>20</v>
      </c>
      <c r="N49" s="12" t="s">
        <v>130</v>
      </c>
      <c r="O49" s="12" t="s">
        <v>169</v>
      </c>
      <c r="P49" s="12"/>
      <c r="Q49" s="12" t="s">
        <v>177</v>
      </c>
      <c r="R49" s="12"/>
      <c r="S49" s="10"/>
    </row>
    <row r="50" spans="2:19" ht="102.75" thickBot="1" x14ac:dyDescent="0.3">
      <c r="B50" s="10"/>
      <c r="C50" s="11" t="s">
        <v>193</v>
      </c>
      <c r="D50" s="12" t="s">
        <v>194</v>
      </c>
      <c r="E50" s="12" t="s">
        <v>23</v>
      </c>
      <c r="F50" s="40" t="s">
        <v>195</v>
      </c>
      <c r="G50" s="12"/>
      <c r="H50" s="27" t="s">
        <v>175</v>
      </c>
      <c r="I50" s="27"/>
      <c r="J50" s="12"/>
      <c r="K50" s="12" t="e">
        <f>VLOOKUP(C50,[1]Validation!E:V,14,FALSE)</f>
        <v>#N/A</v>
      </c>
      <c r="L50" s="12" t="e">
        <f>VLOOKUP(C50,[1]Validation!E:W,14,FALSE)</f>
        <v>#N/A</v>
      </c>
      <c r="M50" s="12" t="s">
        <v>20</v>
      </c>
      <c r="N50" s="12" t="s">
        <v>130</v>
      </c>
      <c r="O50" s="12" t="s">
        <v>169</v>
      </c>
      <c r="P50" s="12"/>
      <c r="Q50" s="12" t="s">
        <v>177</v>
      </c>
      <c r="R50" s="12"/>
      <c r="S50" s="10"/>
    </row>
    <row r="51" spans="2:19" ht="128.25" thickBot="1" x14ac:dyDescent="0.3">
      <c r="B51" s="10"/>
      <c r="C51" s="11" t="s">
        <v>196</v>
      </c>
      <c r="D51" s="12" t="s">
        <v>197</v>
      </c>
      <c r="E51" s="12" t="s">
        <v>23</v>
      </c>
      <c r="F51" s="40" t="s">
        <v>198</v>
      </c>
      <c r="G51" s="12"/>
      <c r="H51" s="27" t="s">
        <v>199</v>
      </c>
      <c r="I51" s="27"/>
      <c r="J51" s="12"/>
      <c r="K51" s="12" t="e">
        <f>VLOOKUP(C51,[1]Validation!E:V,14,FALSE)</f>
        <v>#N/A</v>
      </c>
      <c r="L51" s="12" t="e">
        <f>VLOOKUP(C51,[1]Validation!E:W,14,FALSE)</f>
        <v>#N/A</v>
      </c>
      <c r="M51" s="12" t="s">
        <v>20</v>
      </c>
      <c r="N51" s="12" t="s">
        <v>130</v>
      </c>
      <c r="O51" s="12" t="s">
        <v>169</v>
      </c>
      <c r="P51" s="12"/>
      <c r="Q51" s="12" t="s">
        <v>177</v>
      </c>
      <c r="R51" s="12"/>
      <c r="S51" s="10"/>
    </row>
    <row r="52" spans="2:19" ht="128.25" thickBot="1" x14ac:dyDescent="0.3">
      <c r="B52" s="10"/>
      <c r="C52" s="11" t="s">
        <v>200</v>
      </c>
      <c r="D52" s="12" t="s">
        <v>201</v>
      </c>
      <c r="E52" s="12" t="s">
        <v>23</v>
      </c>
      <c r="F52" s="40" t="s">
        <v>202</v>
      </c>
      <c r="G52" s="12"/>
      <c r="H52" s="27" t="s">
        <v>203</v>
      </c>
      <c r="I52" s="27"/>
      <c r="J52" s="12"/>
      <c r="K52" s="12" t="e">
        <f>VLOOKUP(C52,[1]Validation!E:V,14,FALSE)</f>
        <v>#N/A</v>
      </c>
      <c r="L52" s="12" t="e">
        <f>VLOOKUP(C52,[1]Validation!E:W,14,FALSE)</f>
        <v>#N/A</v>
      </c>
      <c r="M52" s="12" t="s">
        <v>20</v>
      </c>
      <c r="N52" s="12" t="s">
        <v>130</v>
      </c>
      <c r="O52" s="12" t="s">
        <v>169</v>
      </c>
      <c r="P52" s="12"/>
      <c r="Q52" s="12" t="s">
        <v>177</v>
      </c>
      <c r="R52" s="12"/>
      <c r="S52" s="10"/>
    </row>
    <row r="53" spans="2:19" ht="102.75" thickBot="1" x14ac:dyDescent="0.3">
      <c r="B53" s="10"/>
      <c r="C53" s="11" t="s">
        <v>204</v>
      </c>
      <c r="D53" s="12" t="s">
        <v>205</v>
      </c>
      <c r="E53" s="12" t="s">
        <v>23</v>
      </c>
      <c r="F53" s="12" t="s">
        <v>206</v>
      </c>
      <c r="G53" s="12"/>
      <c r="H53" s="27" t="s">
        <v>207</v>
      </c>
      <c r="I53" s="27" t="s">
        <v>188</v>
      </c>
      <c r="J53" s="12"/>
      <c r="K53" s="12" t="e">
        <f>VLOOKUP(C53,[1]Validation!E:V,14,FALSE)</f>
        <v>#N/A</v>
      </c>
      <c r="L53" s="12" t="e">
        <f>VLOOKUP(C53,[1]Validation!E:W,14,FALSE)</f>
        <v>#N/A</v>
      </c>
      <c r="M53" s="12" t="s">
        <v>43</v>
      </c>
      <c r="N53" s="12"/>
      <c r="O53" s="12"/>
      <c r="P53" s="12"/>
      <c r="Q53" s="12" t="s">
        <v>177</v>
      </c>
      <c r="R53" s="12"/>
      <c r="S53" s="10"/>
    </row>
    <row r="54" spans="2:19" ht="102.75" thickBot="1" x14ac:dyDescent="0.3">
      <c r="B54" s="10"/>
      <c r="C54" s="11" t="s">
        <v>208</v>
      </c>
      <c r="D54" s="12" t="s">
        <v>209</v>
      </c>
      <c r="E54" s="12" t="s">
        <v>23</v>
      </c>
      <c r="F54" s="40" t="s">
        <v>210</v>
      </c>
      <c r="G54" s="12"/>
      <c r="H54" s="27" t="s">
        <v>175</v>
      </c>
      <c r="I54" s="27"/>
      <c r="J54" s="12"/>
      <c r="K54" s="12" t="e">
        <f>VLOOKUP(C54,[1]Validation!E:V,14,FALSE)</f>
        <v>#N/A</v>
      </c>
      <c r="L54" s="12" t="e">
        <f>VLOOKUP(C54,[1]Validation!E:W,14,FALSE)</f>
        <v>#N/A</v>
      </c>
      <c r="M54" s="12" t="s">
        <v>20</v>
      </c>
      <c r="N54" s="12" t="s">
        <v>130</v>
      </c>
      <c r="O54" s="12" t="s">
        <v>169</v>
      </c>
      <c r="P54" s="12"/>
      <c r="Q54" s="12" t="s">
        <v>177</v>
      </c>
      <c r="R54" s="12"/>
      <c r="S54" s="10"/>
    </row>
    <row r="55" spans="2:19" ht="102.75" thickBot="1" x14ac:dyDescent="0.3">
      <c r="B55" s="10"/>
      <c r="C55" s="11" t="s">
        <v>211</v>
      </c>
      <c r="D55" s="12" t="s">
        <v>212</v>
      </c>
      <c r="E55" s="12" t="s">
        <v>23</v>
      </c>
      <c r="F55" s="40" t="s">
        <v>213</v>
      </c>
      <c r="G55" s="12"/>
      <c r="H55" s="27" t="s">
        <v>175</v>
      </c>
      <c r="I55" s="27"/>
      <c r="J55" s="12"/>
      <c r="K55" s="12" t="e">
        <f>VLOOKUP(C55,[1]Validation!E:V,14,FALSE)</f>
        <v>#N/A</v>
      </c>
      <c r="L55" s="12" t="e">
        <f>VLOOKUP(C55,[1]Validation!E:W,14,FALSE)</f>
        <v>#N/A</v>
      </c>
      <c r="M55" s="12" t="s">
        <v>20</v>
      </c>
      <c r="N55" s="12" t="s">
        <v>130</v>
      </c>
      <c r="O55" s="12" t="s">
        <v>169</v>
      </c>
      <c r="P55" s="12"/>
      <c r="Q55" s="12" t="s">
        <v>177</v>
      </c>
      <c r="R55" s="12"/>
      <c r="S55" s="10"/>
    </row>
    <row r="56" spans="2:19" ht="166.5" thickBot="1" x14ac:dyDescent="0.3">
      <c r="B56" s="10"/>
      <c r="C56" s="11" t="s">
        <v>214</v>
      </c>
      <c r="D56" s="12" t="s">
        <v>215</v>
      </c>
      <c r="E56" s="12" t="s">
        <v>23</v>
      </c>
      <c r="F56" s="40" t="s">
        <v>216</v>
      </c>
      <c r="G56" s="12"/>
      <c r="H56" s="15" t="s">
        <v>175</v>
      </c>
      <c r="I56" s="12" t="s">
        <v>217</v>
      </c>
      <c r="J56" s="12"/>
      <c r="K56" s="12" t="e">
        <f>VLOOKUP(C56,[1]Validation!E:V,14,FALSE)</f>
        <v>#N/A</v>
      </c>
      <c r="L56" s="12" t="e">
        <f>VLOOKUP(C56,[1]Validation!E:W,14,FALSE)</f>
        <v>#N/A</v>
      </c>
      <c r="M56" s="12" t="s">
        <v>20</v>
      </c>
      <c r="N56" s="12" t="s">
        <v>130</v>
      </c>
      <c r="O56" s="12" t="s">
        <v>169</v>
      </c>
      <c r="P56" s="12"/>
      <c r="Q56" s="12" t="s">
        <v>218</v>
      </c>
      <c r="R56" s="12"/>
      <c r="S56" s="10"/>
    </row>
    <row r="57" spans="2:19" ht="90" thickBot="1" x14ac:dyDescent="0.3">
      <c r="B57" s="10"/>
      <c r="C57" s="11" t="s">
        <v>219</v>
      </c>
      <c r="D57" s="12" t="s">
        <v>220</v>
      </c>
      <c r="E57" s="12" t="s">
        <v>23</v>
      </c>
      <c r="F57" s="40" t="s">
        <v>221</v>
      </c>
      <c r="G57" s="12"/>
      <c r="H57" s="15" t="s">
        <v>175</v>
      </c>
      <c r="I57" s="12" t="s">
        <v>222</v>
      </c>
      <c r="J57" s="12"/>
      <c r="K57" s="12" t="e">
        <f>VLOOKUP(C57,[1]Validation!E:V,14,FALSE)</f>
        <v>#N/A</v>
      </c>
      <c r="L57" s="12" t="e">
        <f>VLOOKUP(C57,[1]Validation!E:W,14,FALSE)</f>
        <v>#N/A</v>
      </c>
      <c r="M57" s="12" t="s">
        <v>20</v>
      </c>
      <c r="N57" s="12" t="s">
        <v>130</v>
      </c>
      <c r="O57" s="12" t="s">
        <v>169</v>
      </c>
      <c r="P57" s="12"/>
      <c r="Q57" s="12" t="s">
        <v>177</v>
      </c>
      <c r="R57" s="12"/>
      <c r="S57" s="10"/>
    </row>
    <row r="58" spans="2:19" ht="64.5" thickBot="1" x14ac:dyDescent="0.3">
      <c r="B58" s="10"/>
      <c r="C58" s="11" t="s">
        <v>223</v>
      </c>
      <c r="D58" s="12" t="s">
        <v>224</v>
      </c>
      <c r="E58" s="12" t="s">
        <v>23</v>
      </c>
      <c r="F58" s="12" t="s">
        <v>225</v>
      </c>
      <c r="G58" s="12"/>
      <c r="H58" s="15" t="s">
        <v>175</v>
      </c>
      <c r="I58" s="12" t="s">
        <v>226</v>
      </c>
      <c r="J58" s="12"/>
      <c r="K58" s="12" t="e">
        <f>VLOOKUP(C58,[1]Validation!E:V,14,FALSE)</f>
        <v>#N/A</v>
      </c>
      <c r="L58" s="12" t="e">
        <f>VLOOKUP(C58,[1]Validation!E:W,14,FALSE)</f>
        <v>#N/A</v>
      </c>
      <c r="M58" s="12" t="s">
        <v>43</v>
      </c>
      <c r="N58" s="12"/>
      <c r="O58" s="12"/>
      <c r="P58" s="12"/>
      <c r="Q58" s="12" t="s">
        <v>177</v>
      </c>
      <c r="R58" s="12"/>
      <c r="S58" s="10"/>
    </row>
    <row r="59" spans="2:19" ht="102.75" thickBot="1" x14ac:dyDescent="0.3">
      <c r="B59" s="10"/>
      <c r="C59" s="11" t="s">
        <v>189</v>
      </c>
      <c r="D59" s="12" t="s">
        <v>227</v>
      </c>
      <c r="E59" s="12" t="s">
        <v>23</v>
      </c>
      <c r="F59" s="12" t="s">
        <v>228</v>
      </c>
      <c r="G59" s="12"/>
      <c r="H59" s="27" t="s">
        <v>175</v>
      </c>
      <c r="I59" s="27"/>
      <c r="J59" s="12"/>
      <c r="K59" s="12" t="e">
        <f>VLOOKUP(C59,[1]Validation!E:V,14,FALSE)</f>
        <v>#N/A</v>
      </c>
      <c r="L59" s="12" t="e">
        <f>VLOOKUP(C59,[1]Validation!E:W,14,FALSE)</f>
        <v>#N/A</v>
      </c>
      <c r="M59" s="12" t="s">
        <v>43</v>
      </c>
      <c r="N59" s="12"/>
      <c r="O59" s="12"/>
      <c r="P59" s="12"/>
      <c r="Q59" s="12" t="s">
        <v>177</v>
      </c>
      <c r="R59" s="12"/>
      <c r="S59" s="10"/>
    </row>
    <row r="60" spans="2:19" ht="128.25" thickBot="1" x14ac:dyDescent="0.3">
      <c r="B60" s="10"/>
      <c r="C60" s="11" t="s">
        <v>229</v>
      </c>
      <c r="D60" s="12" t="s">
        <v>230</v>
      </c>
      <c r="E60" s="12" t="s">
        <v>23</v>
      </c>
      <c r="F60" s="43" t="s">
        <v>231</v>
      </c>
      <c r="G60" s="12"/>
      <c r="H60" s="27" t="s">
        <v>232</v>
      </c>
      <c r="I60" s="27"/>
      <c r="J60" s="12"/>
      <c r="K60" s="12" t="e">
        <f>VLOOKUP(C60,[1]Validation!E:V,14,FALSE)</f>
        <v>#N/A</v>
      </c>
      <c r="L60" s="12" t="e">
        <f>VLOOKUP(C60,[1]Validation!E:W,14,FALSE)</f>
        <v>#N/A</v>
      </c>
      <c r="M60" s="12" t="s">
        <v>20</v>
      </c>
      <c r="N60" s="12" t="s">
        <v>130</v>
      </c>
      <c r="O60" s="12" t="s">
        <v>169</v>
      </c>
      <c r="P60" s="12"/>
      <c r="Q60" s="12" t="s">
        <v>233</v>
      </c>
      <c r="R60" s="12"/>
      <c r="S60" s="10"/>
    </row>
    <row r="61" spans="2:19" ht="141" thickBot="1" x14ac:dyDescent="0.3">
      <c r="B61" s="10"/>
      <c r="C61" s="11" t="s">
        <v>234</v>
      </c>
      <c r="D61" s="12" t="s">
        <v>235</v>
      </c>
      <c r="E61" s="12" t="s">
        <v>23</v>
      </c>
      <c r="F61" s="43" t="s">
        <v>236</v>
      </c>
      <c r="G61" s="12"/>
      <c r="H61" s="27" t="s">
        <v>237</v>
      </c>
      <c r="I61" s="27"/>
      <c r="J61" s="12"/>
      <c r="K61" s="12" t="e">
        <f>VLOOKUP(C61,[1]Validation!E:V,14,FALSE)</f>
        <v>#N/A</v>
      </c>
      <c r="L61" s="12" t="e">
        <f>VLOOKUP(C61,[1]Validation!E:W,14,FALSE)</f>
        <v>#N/A</v>
      </c>
      <c r="M61" s="12" t="s">
        <v>20</v>
      </c>
      <c r="N61" s="12" t="s">
        <v>130</v>
      </c>
      <c r="O61" s="12" t="s">
        <v>169</v>
      </c>
      <c r="P61" s="12"/>
      <c r="Q61" s="12"/>
      <c r="R61" s="12"/>
      <c r="S61" s="10"/>
    </row>
    <row r="62" spans="2:19" ht="75.75" thickBot="1" x14ac:dyDescent="0.3">
      <c r="B62" s="10"/>
      <c r="C62" s="41" t="s">
        <v>238</v>
      </c>
      <c r="D62" s="41" t="s">
        <v>239</v>
      </c>
      <c r="E62" s="44" t="s">
        <v>23</v>
      </c>
      <c r="F62" s="41" t="s">
        <v>240</v>
      </c>
      <c r="G62" s="27"/>
      <c r="H62" s="41" t="s">
        <v>241</v>
      </c>
      <c r="I62" s="27"/>
      <c r="J62" s="12"/>
      <c r="K62" s="12" t="e">
        <f>VLOOKUP(C62,[1]Validation!E:V,14,FALSE)</f>
        <v>#N/A</v>
      </c>
      <c r="L62" s="12" t="e">
        <f>VLOOKUP(C62,[1]Validation!E:W,14,FALSE)</f>
        <v>#N/A</v>
      </c>
      <c r="M62" s="12" t="s">
        <v>43</v>
      </c>
      <c r="N62" s="12"/>
      <c r="O62" s="12"/>
      <c r="P62" s="12"/>
      <c r="Q62" s="27"/>
      <c r="R62" s="27"/>
      <c r="S62" s="10"/>
    </row>
    <row r="63" spans="2:19" ht="150.75" thickBot="1" x14ac:dyDescent="0.3">
      <c r="B63" s="10"/>
      <c r="C63" s="41" t="s">
        <v>242</v>
      </c>
      <c r="D63" s="41" t="s">
        <v>243</v>
      </c>
      <c r="E63" s="44" t="s">
        <v>23</v>
      </c>
      <c r="F63" s="41" t="s">
        <v>244</v>
      </c>
      <c r="G63" s="27"/>
      <c r="H63" s="41" t="s">
        <v>245</v>
      </c>
      <c r="I63" s="44" t="s">
        <v>246</v>
      </c>
      <c r="J63" s="45"/>
      <c r="K63" s="12" t="e">
        <f>VLOOKUP(C63,[1]Validation!E:V,14,FALSE)</f>
        <v>#N/A</v>
      </c>
      <c r="L63" s="12" t="e">
        <f>VLOOKUP(C63,[1]Validation!E:W,14,FALSE)</f>
        <v>#N/A</v>
      </c>
      <c r="M63" s="12" t="s">
        <v>43</v>
      </c>
      <c r="N63" s="12"/>
      <c r="O63" s="12"/>
      <c r="P63" s="12"/>
      <c r="Q63" s="27" t="s">
        <v>247</v>
      </c>
      <c r="R63" s="27"/>
      <c r="S63" s="10"/>
    </row>
    <row r="64" spans="2:19" ht="75.75" thickBot="1" x14ac:dyDescent="0.3">
      <c r="B64" s="10"/>
      <c r="C64" s="41" t="s">
        <v>248</v>
      </c>
      <c r="D64" s="41" t="s">
        <v>249</v>
      </c>
      <c r="E64" s="44" t="s">
        <v>23</v>
      </c>
      <c r="F64" s="41" t="s">
        <v>250</v>
      </c>
      <c r="G64" s="27"/>
      <c r="H64" s="41" t="s">
        <v>241</v>
      </c>
      <c r="I64" s="44" t="s">
        <v>246</v>
      </c>
      <c r="J64" s="45"/>
      <c r="K64" s="12" t="e">
        <f>VLOOKUP(C64,[1]Validation!E:V,14,FALSE)</f>
        <v>#N/A</v>
      </c>
      <c r="L64" s="12" t="e">
        <f>VLOOKUP(C64,[1]Validation!E:W,14,FALSE)</f>
        <v>#N/A</v>
      </c>
      <c r="M64" s="12" t="s">
        <v>43</v>
      </c>
      <c r="N64" s="12"/>
      <c r="O64" s="12"/>
      <c r="P64" s="12"/>
      <c r="Q64" s="27" t="s">
        <v>247</v>
      </c>
      <c r="R64" s="27"/>
      <c r="S64" s="10"/>
    </row>
    <row r="65" spans="2:19" ht="120.75" thickBot="1" x14ac:dyDescent="0.3">
      <c r="B65" s="10"/>
      <c r="C65" s="41" t="s">
        <v>251</v>
      </c>
      <c r="D65" s="41" t="s">
        <v>252</v>
      </c>
      <c r="E65" s="44" t="s">
        <v>23</v>
      </c>
      <c r="F65" s="41" t="s">
        <v>253</v>
      </c>
      <c r="G65" s="27"/>
      <c r="H65" s="41" t="s">
        <v>254</v>
      </c>
      <c r="I65" s="44" t="s">
        <v>246</v>
      </c>
      <c r="J65" s="45"/>
      <c r="K65" s="12" t="e">
        <f>VLOOKUP(C65,[1]Validation!E:V,14,FALSE)</f>
        <v>#N/A</v>
      </c>
      <c r="L65" s="12" t="e">
        <f>VLOOKUP(C65,[1]Validation!E:W,14,FALSE)</f>
        <v>#N/A</v>
      </c>
      <c r="M65" s="12" t="s">
        <v>43</v>
      </c>
      <c r="N65" s="12"/>
      <c r="O65" s="12"/>
      <c r="P65" s="12"/>
      <c r="Q65" s="27" t="s">
        <v>247</v>
      </c>
      <c r="R65" s="27"/>
      <c r="S65" s="10"/>
    </row>
    <row r="66" spans="2:19" ht="135.75" thickBot="1" x14ac:dyDescent="0.3">
      <c r="B66" s="10"/>
      <c r="C66" s="41" t="s">
        <v>255</v>
      </c>
      <c r="D66" s="41" t="s">
        <v>256</v>
      </c>
      <c r="E66" s="44" t="s">
        <v>23</v>
      </c>
      <c r="F66" s="41" t="s">
        <v>257</v>
      </c>
      <c r="G66" s="27"/>
      <c r="H66" s="41" t="s">
        <v>258</v>
      </c>
      <c r="I66" s="44" t="s">
        <v>246</v>
      </c>
      <c r="J66" s="45"/>
      <c r="K66" s="12" t="e">
        <f>VLOOKUP(C66,[1]Validation!E:V,14,FALSE)</f>
        <v>#N/A</v>
      </c>
      <c r="L66" s="12" t="e">
        <f>VLOOKUP(C66,[1]Validation!E:W,14,FALSE)</f>
        <v>#N/A</v>
      </c>
      <c r="M66" s="12" t="s">
        <v>43</v>
      </c>
      <c r="N66" s="12"/>
      <c r="O66" s="12"/>
      <c r="P66" s="12"/>
      <c r="Q66" s="27" t="s">
        <v>247</v>
      </c>
      <c r="R66" s="27"/>
      <c r="S66" s="10"/>
    </row>
    <row r="67" spans="2:19" ht="165.75" thickBot="1" x14ac:dyDescent="0.3">
      <c r="B67" s="10"/>
      <c r="C67" s="41" t="s">
        <v>259</v>
      </c>
      <c r="D67" s="41" t="s">
        <v>260</v>
      </c>
      <c r="E67" s="44" t="s">
        <v>23</v>
      </c>
      <c r="F67" s="41" t="s">
        <v>261</v>
      </c>
      <c r="G67" s="27"/>
      <c r="H67" s="41" t="s">
        <v>262</v>
      </c>
      <c r="I67" s="44" t="s">
        <v>246</v>
      </c>
      <c r="J67" s="45"/>
      <c r="K67" s="12" t="e">
        <f>VLOOKUP(C67,[1]Validation!E:V,14,FALSE)</f>
        <v>#N/A</v>
      </c>
      <c r="L67" s="12" t="e">
        <f>VLOOKUP(C67,[1]Validation!E:W,14,FALSE)</f>
        <v>#N/A</v>
      </c>
      <c r="M67" s="12" t="s">
        <v>43</v>
      </c>
      <c r="N67" s="12"/>
      <c r="O67" s="12"/>
      <c r="P67" s="12"/>
      <c r="Q67" s="27" t="s">
        <v>247</v>
      </c>
      <c r="R67" s="27"/>
      <c r="S67" s="10"/>
    </row>
    <row r="68" spans="2:19" ht="165.75" thickBot="1" x14ac:dyDescent="0.3">
      <c r="B68" s="10"/>
      <c r="C68" s="41" t="s">
        <v>263</v>
      </c>
      <c r="D68" s="41" t="s">
        <v>264</v>
      </c>
      <c r="E68" s="44" t="s">
        <v>23</v>
      </c>
      <c r="F68" s="41" t="s">
        <v>265</v>
      </c>
      <c r="G68" s="27"/>
      <c r="H68" s="41" t="s">
        <v>266</v>
      </c>
      <c r="I68" s="44" t="s">
        <v>246</v>
      </c>
      <c r="J68" s="45"/>
      <c r="K68" s="12" t="e">
        <f>VLOOKUP(C68,[1]Validation!E:V,14,FALSE)</f>
        <v>#N/A</v>
      </c>
      <c r="L68" s="12" t="e">
        <f>VLOOKUP(C68,[1]Validation!E:W,14,FALSE)</f>
        <v>#N/A</v>
      </c>
      <c r="M68" s="12" t="s">
        <v>43</v>
      </c>
      <c r="N68" s="12"/>
      <c r="O68" s="12"/>
      <c r="P68" s="12"/>
      <c r="Q68" s="27" t="s">
        <v>247</v>
      </c>
      <c r="R68" s="27"/>
      <c r="S68" s="10"/>
    </row>
    <row r="69" spans="2:19" ht="75.75" thickBot="1" x14ac:dyDescent="0.3">
      <c r="B69" s="10"/>
      <c r="C69" s="41" t="s">
        <v>267</v>
      </c>
      <c r="D69" s="41" t="s">
        <v>268</v>
      </c>
      <c r="E69" s="44" t="s">
        <v>23</v>
      </c>
      <c r="F69" s="41" t="s">
        <v>269</v>
      </c>
      <c r="G69" s="27"/>
      <c r="H69" s="41" t="s">
        <v>241</v>
      </c>
      <c r="I69" s="44" t="s">
        <v>246</v>
      </c>
      <c r="J69" s="45"/>
      <c r="K69" s="12" t="e">
        <f>VLOOKUP(C69,[1]Validation!E:V,14,FALSE)</f>
        <v>#N/A</v>
      </c>
      <c r="L69" s="12" t="e">
        <f>VLOOKUP(C69,[1]Validation!E:W,14,FALSE)</f>
        <v>#N/A</v>
      </c>
      <c r="M69" s="12" t="s">
        <v>43</v>
      </c>
      <c r="N69" s="12"/>
      <c r="O69" s="12"/>
      <c r="P69" s="12"/>
      <c r="Q69" s="27" t="s">
        <v>247</v>
      </c>
      <c r="R69" s="27"/>
      <c r="S69" s="10"/>
    </row>
    <row r="70" spans="2:19" ht="179.25" thickBot="1" x14ac:dyDescent="0.3">
      <c r="B70" s="46"/>
      <c r="C70" s="11" t="s">
        <v>270</v>
      </c>
      <c r="D70" s="12" t="s">
        <v>271</v>
      </c>
      <c r="E70" s="12" t="s">
        <v>23</v>
      </c>
      <c r="F70" s="47" t="s">
        <v>272</v>
      </c>
      <c r="G70" s="12"/>
      <c r="H70" s="12" t="s">
        <v>273</v>
      </c>
      <c r="I70" s="44"/>
      <c r="J70" s="45"/>
      <c r="K70" s="12" t="e">
        <f>VLOOKUP(C70,[1]Validation!E:V,14,FALSE)</f>
        <v>#N/A</v>
      </c>
      <c r="L70" s="12" t="e">
        <f>VLOOKUP(C70,[1]Validation!E:W,14,FALSE)</f>
        <v>#N/A</v>
      </c>
      <c r="M70" s="12" t="s">
        <v>43</v>
      </c>
      <c r="N70" s="12"/>
      <c r="O70" s="12"/>
      <c r="P70" s="12"/>
      <c r="Q70" s="12" t="s">
        <v>274</v>
      </c>
      <c r="R70" s="12" t="s">
        <v>275</v>
      </c>
      <c r="S70" s="10"/>
    </row>
    <row r="71" spans="2:19" ht="19.5" thickBot="1" x14ac:dyDescent="0.3">
      <c r="B71" s="48" t="s">
        <v>276</v>
      </c>
      <c r="C71" s="49"/>
      <c r="D71" s="49"/>
      <c r="E71" s="49"/>
      <c r="F71" s="49"/>
      <c r="G71" s="49"/>
      <c r="H71" s="49"/>
      <c r="I71" s="49"/>
      <c r="J71" s="49"/>
      <c r="K71" s="49"/>
      <c r="L71" s="49"/>
      <c r="M71" s="49"/>
      <c r="N71" s="49"/>
      <c r="O71" s="49"/>
      <c r="P71" s="49"/>
      <c r="Q71" s="50"/>
      <c r="R71" s="10"/>
      <c r="S71" s="10"/>
    </row>
    <row r="72" spans="2:19" ht="26.25" thickBot="1" x14ac:dyDescent="0.3">
      <c r="B72" s="51"/>
      <c r="C72" s="51"/>
      <c r="D72" s="51"/>
      <c r="E72" s="52" t="s">
        <v>18</v>
      </c>
      <c r="F72" s="53" t="s">
        <v>277</v>
      </c>
      <c r="G72" s="51"/>
      <c r="H72" s="54"/>
      <c r="I72" s="51"/>
      <c r="J72" s="51"/>
      <c r="K72" s="51"/>
      <c r="L72" s="51"/>
      <c r="M72" s="12" t="s">
        <v>20</v>
      </c>
      <c r="N72" s="52" t="s">
        <v>130</v>
      </c>
      <c r="O72" s="51"/>
      <c r="P72" s="51"/>
      <c r="Q72" s="51"/>
      <c r="R72" s="10"/>
      <c r="S72" s="10"/>
    </row>
    <row r="73" spans="2:19" ht="204.75" thickBot="1" x14ac:dyDescent="0.3">
      <c r="B73" s="52"/>
      <c r="C73" s="11" t="s">
        <v>278</v>
      </c>
      <c r="D73" s="12" t="s">
        <v>279</v>
      </c>
      <c r="E73" s="12" t="s">
        <v>52</v>
      </c>
      <c r="F73" s="12" t="s">
        <v>280</v>
      </c>
      <c r="G73" s="12" t="s">
        <v>281</v>
      </c>
      <c r="H73" s="15" t="s">
        <v>282</v>
      </c>
      <c r="I73" s="12"/>
      <c r="J73" s="12"/>
      <c r="K73" s="12" t="str">
        <f>VLOOKUP(C73,[1]Validation!E:V,14,FALSE)</f>
        <v>number..' should be &gt;=0 &amp;=&lt; 7</v>
      </c>
      <c r="L73" s="12" t="str">
        <f>VLOOKUP(C73,[1]Validation!E:W,15,FALSE)</f>
        <v>NUMBER SEEMS TOO LOW/HIGH. PLEASE CHECK</v>
      </c>
      <c r="M73" s="12" t="s">
        <v>20</v>
      </c>
      <c r="N73" s="12" t="s">
        <v>130</v>
      </c>
      <c r="O73" s="12" t="s">
        <v>283</v>
      </c>
      <c r="P73" s="12"/>
      <c r="Q73" s="12" t="s">
        <v>284</v>
      </c>
      <c r="R73" s="12" t="s">
        <v>285</v>
      </c>
      <c r="S73" s="12" t="s">
        <v>285</v>
      </c>
    </row>
    <row r="74" spans="2:19" ht="153.75" thickBot="1" x14ac:dyDescent="0.3">
      <c r="B74" s="52"/>
      <c r="C74" s="11" t="s">
        <v>286</v>
      </c>
      <c r="D74" s="12" t="s">
        <v>287</v>
      </c>
      <c r="E74" s="12" t="s">
        <v>23</v>
      </c>
      <c r="F74" s="12" t="s">
        <v>288</v>
      </c>
      <c r="G74" s="12"/>
      <c r="H74" s="12" t="s">
        <v>289</v>
      </c>
      <c r="I74" s="12" t="s">
        <v>290</v>
      </c>
      <c r="J74" s="12"/>
      <c r="K74" s="12" t="e">
        <f>VLOOKUP(C74,[1]Validation!E:V,14,FALSE)</f>
        <v>#N/A</v>
      </c>
      <c r="L74" s="12" t="e">
        <f>VLOOKUP(C74,[1]Validation!E:W,14,FALSE)</f>
        <v>#N/A</v>
      </c>
      <c r="M74" s="12" t="s">
        <v>20</v>
      </c>
      <c r="N74" s="12" t="s">
        <v>130</v>
      </c>
      <c r="O74" s="12" t="s">
        <v>291</v>
      </c>
      <c r="P74" s="12"/>
      <c r="Q74" s="12" t="s">
        <v>284</v>
      </c>
      <c r="R74" s="12"/>
      <c r="S74" s="10"/>
    </row>
    <row r="75" spans="2:19" ht="39" thickBot="1" x14ac:dyDescent="0.3">
      <c r="B75" s="52"/>
      <c r="C75" s="11" t="s">
        <v>292</v>
      </c>
      <c r="D75" s="12" t="s">
        <v>293</v>
      </c>
      <c r="E75" s="12" t="s">
        <v>23</v>
      </c>
      <c r="F75" s="12" t="s">
        <v>294</v>
      </c>
      <c r="G75" s="12"/>
      <c r="H75" s="15" t="s">
        <v>295</v>
      </c>
      <c r="I75" s="12" t="s">
        <v>290</v>
      </c>
      <c r="J75" s="12"/>
      <c r="K75" s="12" t="e">
        <f>VLOOKUP(C75,[1]Validation!E:V,14,FALSE)</f>
        <v>#N/A</v>
      </c>
      <c r="L75" s="12" t="e">
        <f>VLOOKUP(C75,[1]Validation!E:W,14,FALSE)</f>
        <v>#N/A</v>
      </c>
      <c r="M75" s="12" t="s">
        <v>43</v>
      </c>
      <c r="N75" s="12"/>
      <c r="O75" s="12"/>
      <c r="P75" s="12"/>
      <c r="Q75" s="12" t="s">
        <v>296</v>
      </c>
      <c r="R75" s="12"/>
      <c r="S75" s="10"/>
    </row>
    <row r="76" spans="2:19" ht="64.5" thickBot="1" x14ac:dyDescent="0.3">
      <c r="B76" s="52"/>
      <c r="C76" s="11" t="s">
        <v>297</v>
      </c>
      <c r="D76" s="12" t="s">
        <v>298</v>
      </c>
      <c r="E76" s="12" t="s">
        <v>52</v>
      </c>
      <c r="F76" s="12" t="s">
        <v>299</v>
      </c>
      <c r="G76" s="12" t="s">
        <v>281</v>
      </c>
      <c r="H76" s="15" t="s">
        <v>282</v>
      </c>
      <c r="I76" s="12"/>
      <c r="J76" s="12"/>
      <c r="K76" s="12" t="str">
        <f>VLOOKUP(C76,[1]Validation!E:V,14,FALSE)</f>
        <v>number..' should be &gt;=0 &amp;=&lt; 7</v>
      </c>
      <c r="L76" s="12" t="str">
        <f>VLOOKUP(C76,[1]Validation!E:W,15,FALSE)</f>
        <v>NUMBER SEEMS TOO LOW/HIGH. PLEASE CHECK</v>
      </c>
      <c r="M76" s="12" t="s">
        <v>20</v>
      </c>
      <c r="N76" s="12" t="s">
        <v>130</v>
      </c>
      <c r="O76" s="12" t="s">
        <v>283</v>
      </c>
      <c r="P76" s="12"/>
      <c r="Q76" s="12" t="s">
        <v>284</v>
      </c>
      <c r="R76" s="12"/>
      <c r="S76" s="10"/>
    </row>
    <row r="77" spans="2:19" ht="153.75" thickBot="1" x14ac:dyDescent="0.3">
      <c r="B77" s="52"/>
      <c r="C77" s="11" t="s">
        <v>300</v>
      </c>
      <c r="D77" s="12" t="s">
        <v>301</v>
      </c>
      <c r="E77" s="12" t="s">
        <v>23</v>
      </c>
      <c r="F77" s="12" t="s">
        <v>288</v>
      </c>
      <c r="G77" s="12"/>
      <c r="H77" s="12" t="s">
        <v>289</v>
      </c>
      <c r="I77" s="12" t="s">
        <v>302</v>
      </c>
      <c r="J77" s="12"/>
      <c r="K77" s="12" t="e">
        <f>VLOOKUP(C77,[1]Validation!E:V,14,FALSE)</f>
        <v>#N/A</v>
      </c>
      <c r="L77" s="12" t="e">
        <f>VLOOKUP(C77,[1]Validation!E:W,14,FALSE)</f>
        <v>#N/A</v>
      </c>
      <c r="M77" s="12" t="s">
        <v>20</v>
      </c>
      <c r="N77" s="12" t="s">
        <v>130</v>
      </c>
      <c r="O77" s="12" t="s">
        <v>291</v>
      </c>
      <c r="P77" s="12"/>
      <c r="Q77" s="12" t="s">
        <v>284</v>
      </c>
      <c r="R77" s="12"/>
      <c r="S77" s="10"/>
    </row>
    <row r="78" spans="2:19" ht="39" thickBot="1" x14ac:dyDescent="0.3">
      <c r="B78" s="55"/>
      <c r="C78" s="11" t="s">
        <v>303</v>
      </c>
      <c r="D78" s="12" t="s">
        <v>304</v>
      </c>
      <c r="E78" s="12" t="s">
        <v>23</v>
      </c>
      <c r="F78" s="12" t="s">
        <v>294</v>
      </c>
      <c r="G78" s="12"/>
      <c r="H78" s="15" t="s">
        <v>295</v>
      </c>
      <c r="I78" s="12" t="s">
        <v>302</v>
      </c>
      <c r="J78" s="12"/>
      <c r="K78" s="12" t="e">
        <f>VLOOKUP(C78,[1]Validation!E:V,14,FALSE)</f>
        <v>#N/A</v>
      </c>
      <c r="L78" s="12" t="e">
        <f>VLOOKUP(C78,[1]Validation!E:W,14,FALSE)</f>
        <v>#N/A</v>
      </c>
      <c r="M78" s="12" t="s">
        <v>43</v>
      </c>
      <c r="N78" s="12"/>
      <c r="O78" s="12"/>
      <c r="P78" s="12"/>
      <c r="Q78" s="12" t="s">
        <v>296</v>
      </c>
      <c r="R78" s="12"/>
      <c r="S78" s="10"/>
    </row>
    <row r="79" spans="2:19" ht="51.75" thickBot="1" x14ac:dyDescent="0.3">
      <c r="B79" s="52"/>
      <c r="C79" s="11" t="s">
        <v>305</v>
      </c>
      <c r="D79" s="12" t="s">
        <v>306</v>
      </c>
      <c r="E79" s="12" t="s">
        <v>52</v>
      </c>
      <c r="F79" s="12" t="s">
        <v>307</v>
      </c>
      <c r="G79" s="12" t="s">
        <v>281</v>
      </c>
      <c r="H79" s="15" t="s">
        <v>282</v>
      </c>
      <c r="I79" s="12"/>
      <c r="J79" s="12"/>
      <c r="K79" s="12" t="str">
        <f>VLOOKUP(C79,[1]Validation!E:V,14,FALSE)</f>
        <v>number..' should be &gt;=0 &amp;=&lt; 7</v>
      </c>
      <c r="L79" s="12" t="str">
        <f>VLOOKUP(C79,[1]Validation!E:W,15,FALSE)</f>
        <v>NUMBER SEEMS TOO LOW/HIGH. PLEASE CHECK</v>
      </c>
      <c r="M79" s="12" t="s">
        <v>20</v>
      </c>
      <c r="N79" s="12" t="s">
        <v>130</v>
      </c>
      <c r="O79" s="12" t="s">
        <v>283</v>
      </c>
      <c r="P79" s="12"/>
      <c r="Q79" s="12" t="s">
        <v>284</v>
      </c>
      <c r="R79" s="12"/>
      <c r="S79" s="10"/>
    </row>
    <row r="80" spans="2:19" ht="153.75" thickBot="1" x14ac:dyDescent="0.3">
      <c r="B80" s="52"/>
      <c r="C80" s="11" t="s">
        <v>308</v>
      </c>
      <c r="D80" s="12" t="s">
        <v>309</v>
      </c>
      <c r="E80" s="12" t="s">
        <v>23</v>
      </c>
      <c r="F80" s="12" t="s">
        <v>310</v>
      </c>
      <c r="G80" s="12"/>
      <c r="H80" s="12" t="s">
        <v>289</v>
      </c>
      <c r="I80" s="12" t="s">
        <v>311</v>
      </c>
      <c r="J80" s="12"/>
      <c r="K80" s="12" t="e">
        <f>VLOOKUP(C80,[1]Validation!E:V,14,FALSE)</f>
        <v>#N/A</v>
      </c>
      <c r="L80" s="12" t="e">
        <f>VLOOKUP(C80,[1]Validation!E:W,14,FALSE)</f>
        <v>#N/A</v>
      </c>
      <c r="M80" s="12" t="s">
        <v>20</v>
      </c>
      <c r="N80" s="12" t="s">
        <v>130</v>
      </c>
      <c r="O80" s="12" t="s">
        <v>291</v>
      </c>
      <c r="P80" s="12"/>
      <c r="Q80" s="12" t="s">
        <v>284</v>
      </c>
      <c r="R80" s="12"/>
      <c r="S80" s="10"/>
    </row>
    <row r="81" spans="2:19" ht="39" thickBot="1" x14ac:dyDescent="0.3">
      <c r="B81" s="52"/>
      <c r="C81" s="11" t="s">
        <v>312</v>
      </c>
      <c r="D81" s="12" t="s">
        <v>313</v>
      </c>
      <c r="E81" s="12" t="s">
        <v>23</v>
      </c>
      <c r="F81" s="12" t="s">
        <v>294</v>
      </c>
      <c r="G81" s="12"/>
      <c r="H81" s="15" t="s">
        <v>295</v>
      </c>
      <c r="I81" s="12" t="s">
        <v>311</v>
      </c>
      <c r="J81" s="12"/>
      <c r="K81" s="12" t="e">
        <f>VLOOKUP(C81,[1]Validation!E:V,14,FALSE)</f>
        <v>#N/A</v>
      </c>
      <c r="L81" s="12" t="e">
        <f>VLOOKUP(C81,[1]Validation!E:W,14,FALSE)</f>
        <v>#N/A</v>
      </c>
      <c r="M81" s="12" t="s">
        <v>43</v>
      </c>
      <c r="N81" s="12"/>
      <c r="O81" s="12"/>
      <c r="P81" s="12"/>
      <c r="Q81" s="12" t="s">
        <v>296</v>
      </c>
      <c r="R81" s="12"/>
      <c r="S81" s="10"/>
    </row>
    <row r="82" spans="2:19" ht="64.5" thickBot="1" x14ac:dyDescent="0.3">
      <c r="B82" s="10"/>
      <c r="C82" s="11" t="s">
        <v>314</v>
      </c>
      <c r="D82" s="12" t="s">
        <v>315</v>
      </c>
      <c r="E82" s="12" t="s">
        <v>52</v>
      </c>
      <c r="F82" s="12" t="s">
        <v>316</v>
      </c>
      <c r="G82" s="12" t="s">
        <v>281</v>
      </c>
      <c r="H82" s="15" t="s">
        <v>282</v>
      </c>
      <c r="I82" s="10"/>
      <c r="J82" s="20"/>
      <c r="K82" s="12" t="str">
        <f>VLOOKUP(C82,[1]Validation!E:V,14,FALSE)</f>
        <v>number..' should be &gt;=0 &amp;=&lt; 7</v>
      </c>
      <c r="L82" s="12" t="str">
        <f>VLOOKUP(C82,[1]Validation!E:W,15,FALSE)</f>
        <v>NUMBER SEEMS TOO LOW/HIGH. PLEASE CHECK</v>
      </c>
      <c r="M82" s="12" t="s">
        <v>20</v>
      </c>
      <c r="N82" s="12" t="s">
        <v>130</v>
      </c>
      <c r="O82" s="12" t="s">
        <v>283</v>
      </c>
      <c r="P82" s="12"/>
      <c r="Q82" s="12" t="s">
        <v>284</v>
      </c>
      <c r="R82" s="12"/>
      <c r="S82" s="10"/>
    </row>
    <row r="83" spans="2:19" ht="153.75" thickBot="1" x14ac:dyDescent="0.3">
      <c r="B83" s="10"/>
      <c r="C83" s="11" t="s">
        <v>317</v>
      </c>
      <c r="D83" s="12" t="s">
        <v>318</v>
      </c>
      <c r="E83" s="12" t="s">
        <v>23</v>
      </c>
      <c r="F83" s="12" t="s">
        <v>310</v>
      </c>
      <c r="G83" s="12"/>
      <c r="H83" s="12" t="s">
        <v>289</v>
      </c>
      <c r="I83" s="12" t="s">
        <v>319</v>
      </c>
      <c r="J83" s="12"/>
      <c r="K83" s="12" t="e">
        <f>VLOOKUP(C83,[1]Validation!E:V,14,FALSE)</f>
        <v>#N/A</v>
      </c>
      <c r="L83" s="12" t="e">
        <f>VLOOKUP(C83,[1]Validation!E:W,14,FALSE)</f>
        <v>#N/A</v>
      </c>
      <c r="M83" s="12" t="s">
        <v>20</v>
      </c>
      <c r="N83" s="12" t="s">
        <v>130</v>
      </c>
      <c r="O83" s="12" t="s">
        <v>291</v>
      </c>
      <c r="P83" s="12"/>
      <c r="Q83" s="12" t="s">
        <v>284</v>
      </c>
      <c r="R83" s="12"/>
      <c r="S83" s="10"/>
    </row>
    <row r="84" spans="2:19" ht="39" thickBot="1" x14ac:dyDescent="0.3">
      <c r="B84" s="10"/>
      <c r="C84" s="11" t="s">
        <v>320</v>
      </c>
      <c r="D84" s="12" t="s">
        <v>321</v>
      </c>
      <c r="E84" s="12" t="s">
        <v>23</v>
      </c>
      <c r="F84" s="12" t="s">
        <v>294</v>
      </c>
      <c r="G84" s="12"/>
      <c r="H84" s="15" t="s">
        <v>295</v>
      </c>
      <c r="I84" s="12" t="s">
        <v>319</v>
      </c>
      <c r="J84" s="12"/>
      <c r="K84" s="12" t="e">
        <f>VLOOKUP(C84,[1]Validation!E:V,14,FALSE)</f>
        <v>#N/A</v>
      </c>
      <c r="L84" s="12" t="e">
        <f>VLOOKUP(C84,[1]Validation!E:W,14,FALSE)</f>
        <v>#N/A</v>
      </c>
      <c r="M84" s="12" t="s">
        <v>43</v>
      </c>
      <c r="N84" s="12"/>
      <c r="O84" s="12"/>
      <c r="P84" s="12"/>
      <c r="Q84" s="12" t="s">
        <v>296</v>
      </c>
      <c r="R84" s="12"/>
      <c r="S84" s="10"/>
    </row>
    <row r="85" spans="2:19" ht="39" thickBot="1" x14ac:dyDescent="0.3">
      <c r="B85" s="10"/>
      <c r="C85" s="11" t="s">
        <v>322</v>
      </c>
      <c r="D85" s="12" t="s">
        <v>323</v>
      </c>
      <c r="E85" s="12" t="s">
        <v>52</v>
      </c>
      <c r="F85" s="12" t="s">
        <v>324</v>
      </c>
      <c r="G85" s="12" t="s">
        <v>281</v>
      </c>
      <c r="H85" s="15" t="s">
        <v>282</v>
      </c>
      <c r="I85" s="12" t="s">
        <v>319</v>
      </c>
      <c r="J85" s="12"/>
      <c r="K85" s="12" t="str">
        <f>VLOOKUP(C85,[1]Validation!E:V,14,FALSE)</f>
        <v>number..' should be &gt;=0 &amp;=&lt; 7</v>
      </c>
      <c r="L85" s="12" t="str">
        <f>VLOOKUP(C85,[1]Validation!E:W,15,FALSE)</f>
        <v>NUMBER SEEMS TOO LOW/HIGH. PLEASE CHECK</v>
      </c>
      <c r="M85" s="12" t="s">
        <v>20</v>
      </c>
      <c r="N85" s="12" t="s">
        <v>130</v>
      </c>
      <c r="O85" s="12" t="s">
        <v>283</v>
      </c>
      <c r="P85" s="12"/>
      <c r="Q85" s="12" t="s">
        <v>284</v>
      </c>
      <c r="R85" s="12"/>
      <c r="S85" s="10"/>
    </row>
    <row r="86" spans="2:19" ht="153.75" thickBot="1" x14ac:dyDescent="0.3">
      <c r="B86" s="10"/>
      <c r="C86" s="11" t="s">
        <v>325</v>
      </c>
      <c r="D86" s="12" t="s">
        <v>326</v>
      </c>
      <c r="E86" s="12" t="s">
        <v>23</v>
      </c>
      <c r="F86" s="12" t="s">
        <v>310</v>
      </c>
      <c r="G86" s="12"/>
      <c r="H86" s="12" t="s">
        <v>289</v>
      </c>
      <c r="I86" s="12" t="s">
        <v>327</v>
      </c>
      <c r="J86" s="12"/>
      <c r="K86" s="12" t="e">
        <f>VLOOKUP(C86,[1]Validation!E:V,14,FALSE)</f>
        <v>#N/A</v>
      </c>
      <c r="L86" s="12" t="e">
        <f>VLOOKUP(C86,[1]Validation!E:W,14,FALSE)</f>
        <v>#N/A</v>
      </c>
      <c r="M86" s="12" t="s">
        <v>20</v>
      </c>
      <c r="N86" s="12" t="s">
        <v>130</v>
      </c>
      <c r="O86" s="12" t="s">
        <v>291</v>
      </c>
      <c r="P86" s="12"/>
      <c r="Q86" s="12" t="s">
        <v>284</v>
      </c>
      <c r="R86" s="12"/>
      <c r="S86" s="10"/>
    </row>
    <row r="87" spans="2:19" ht="39" thickBot="1" x14ac:dyDescent="0.3">
      <c r="B87" s="10"/>
      <c r="C87" s="11" t="s">
        <v>328</v>
      </c>
      <c r="D87" s="12" t="s">
        <v>329</v>
      </c>
      <c r="E87" s="12" t="s">
        <v>23</v>
      </c>
      <c r="F87" s="12" t="s">
        <v>294</v>
      </c>
      <c r="G87" s="12"/>
      <c r="H87" s="15" t="s">
        <v>295</v>
      </c>
      <c r="I87" s="12" t="s">
        <v>327</v>
      </c>
      <c r="J87" s="12"/>
      <c r="K87" s="12" t="e">
        <f>VLOOKUP(C87,[1]Validation!E:V,14,FALSE)</f>
        <v>#N/A</v>
      </c>
      <c r="L87" s="12" t="e">
        <f>VLOOKUP(C87,[1]Validation!E:W,14,FALSE)</f>
        <v>#N/A</v>
      </c>
      <c r="M87" s="12" t="s">
        <v>43</v>
      </c>
      <c r="N87" s="12"/>
      <c r="O87" s="12"/>
      <c r="P87" s="12"/>
      <c r="Q87" s="12" t="s">
        <v>296</v>
      </c>
      <c r="R87" s="12"/>
      <c r="S87" s="10"/>
    </row>
    <row r="88" spans="2:19" ht="64.5" thickBot="1" x14ac:dyDescent="0.3">
      <c r="B88" s="10"/>
      <c r="C88" s="11" t="s">
        <v>330</v>
      </c>
      <c r="D88" s="12" t="s">
        <v>331</v>
      </c>
      <c r="E88" s="12" t="s">
        <v>52</v>
      </c>
      <c r="F88" s="12" t="s">
        <v>332</v>
      </c>
      <c r="G88" s="12" t="s">
        <v>281</v>
      </c>
      <c r="H88" s="15" t="s">
        <v>282</v>
      </c>
      <c r="I88" s="12" t="s">
        <v>319</v>
      </c>
      <c r="J88" s="12"/>
      <c r="K88" s="12" t="str">
        <f>VLOOKUP(C88,[1]Validation!E:V,14,FALSE)</f>
        <v>number..' should be &gt;=0 &amp;=&lt; 7</v>
      </c>
      <c r="L88" s="12" t="str">
        <f>VLOOKUP(C88,[1]Validation!E:W,15,FALSE)</f>
        <v>NUMBER SEEMS TOO LOW/HIGH. PLEASE CHECK</v>
      </c>
      <c r="M88" s="12" t="s">
        <v>20</v>
      </c>
      <c r="N88" s="12" t="s">
        <v>130</v>
      </c>
      <c r="O88" s="12" t="s">
        <v>283</v>
      </c>
      <c r="P88" s="12"/>
      <c r="Q88" s="12" t="s">
        <v>284</v>
      </c>
      <c r="R88" s="12"/>
      <c r="S88" s="10"/>
    </row>
    <row r="89" spans="2:19" ht="153.75" thickBot="1" x14ac:dyDescent="0.3">
      <c r="B89" s="10"/>
      <c r="C89" s="11" t="s">
        <v>333</v>
      </c>
      <c r="D89" s="12" t="s">
        <v>334</v>
      </c>
      <c r="E89" s="12" t="s">
        <v>23</v>
      </c>
      <c r="F89" s="12" t="s">
        <v>288</v>
      </c>
      <c r="G89" s="12"/>
      <c r="H89" s="12" t="s">
        <v>289</v>
      </c>
      <c r="I89" s="12" t="s">
        <v>335</v>
      </c>
      <c r="J89" s="12"/>
      <c r="K89" s="12" t="e">
        <f>VLOOKUP(C89,[1]Validation!E:V,14,FALSE)</f>
        <v>#N/A</v>
      </c>
      <c r="L89" s="12" t="e">
        <f>VLOOKUP(C89,[1]Validation!E:W,14,FALSE)</f>
        <v>#N/A</v>
      </c>
      <c r="M89" s="12" t="s">
        <v>20</v>
      </c>
      <c r="N89" s="12" t="s">
        <v>130</v>
      </c>
      <c r="O89" s="12" t="s">
        <v>291</v>
      </c>
      <c r="P89" s="12"/>
      <c r="Q89" s="12" t="s">
        <v>284</v>
      </c>
      <c r="R89" s="12"/>
      <c r="S89" s="10"/>
    </row>
    <row r="90" spans="2:19" ht="39" thickBot="1" x14ac:dyDescent="0.3">
      <c r="B90" s="10"/>
      <c r="C90" s="11" t="s">
        <v>336</v>
      </c>
      <c r="D90" s="12" t="s">
        <v>337</v>
      </c>
      <c r="E90" s="12" t="s">
        <v>23</v>
      </c>
      <c r="F90" s="12" t="s">
        <v>294</v>
      </c>
      <c r="G90" s="12"/>
      <c r="H90" s="15" t="s">
        <v>295</v>
      </c>
      <c r="I90" s="12" t="s">
        <v>335</v>
      </c>
      <c r="J90" s="12"/>
      <c r="K90" s="12" t="e">
        <f>VLOOKUP(C90,[1]Validation!E:V,14,FALSE)</f>
        <v>#N/A</v>
      </c>
      <c r="L90" s="12" t="e">
        <f>VLOOKUP(C90,[1]Validation!E:W,14,FALSE)</f>
        <v>#N/A</v>
      </c>
      <c r="M90" s="12" t="s">
        <v>43</v>
      </c>
      <c r="N90" s="12"/>
      <c r="O90" s="12"/>
      <c r="P90" s="12"/>
      <c r="Q90" s="12" t="s">
        <v>296</v>
      </c>
      <c r="R90" s="12"/>
      <c r="S90" s="10"/>
    </row>
    <row r="91" spans="2:19" ht="51.75" thickBot="1" x14ac:dyDescent="0.3">
      <c r="B91" s="10"/>
      <c r="C91" s="11" t="s">
        <v>338</v>
      </c>
      <c r="D91" s="12" t="s">
        <v>339</v>
      </c>
      <c r="E91" s="12" t="s">
        <v>52</v>
      </c>
      <c r="F91" s="12" t="s">
        <v>340</v>
      </c>
      <c r="G91" s="12" t="s">
        <v>281</v>
      </c>
      <c r="H91" s="15" t="s">
        <v>282</v>
      </c>
      <c r="I91" s="12" t="s">
        <v>319</v>
      </c>
      <c r="J91" s="12"/>
      <c r="K91" s="12" t="str">
        <f>VLOOKUP(C91,[1]Validation!E:V,14,FALSE)</f>
        <v>number..' should be &gt;=0 &amp; =&lt; 7</v>
      </c>
      <c r="L91" s="12" t="str">
        <f>VLOOKUP(C91,[1]Validation!E:W,15,FALSE)</f>
        <v>NUMBER SEEMS TOO LOW/HIGH. PLEASE CHECK</v>
      </c>
      <c r="M91" s="12" t="s">
        <v>20</v>
      </c>
      <c r="N91" s="12" t="s">
        <v>130</v>
      </c>
      <c r="O91" s="12" t="s">
        <v>283</v>
      </c>
      <c r="P91" s="12"/>
      <c r="Q91" s="12" t="s">
        <v>284</v>
      </c>
      <c r="R91" s="12"/>
      <c r="S91" s="10"/>
    </row>
    <row r="92" spans="2:19" ht="153.75" thickBot="1" x14ac:dyDescent="0.3">
      <c r="B92" s="10"/>
      <c r="C92" s="11" t="s">
        <v>341</v>
      </c>
      <c r="D92" s="12" t="s">
        <v>342</v>
      </c>
      <c r="E92" s="12" t="s">
        <v>23</v>
      </c>
      <c r="F92" s="12" t="s">
        <v>310</v>
      </c>
      <c r="G92" s="12"/>
      <c r="H92" s="12" t="s">
        <v>289</v>
      </c>
      <c r="I92" s="12" t="s">
        <v>343</v>
      </c>
      <c r="J92" s="12"/>
      <c r="K92" s="12" t="e">
        <f>VLOOKUP(C92,[1]Validation!E:V,14,FALSE)</f>
        <v>#N/A</v>
      </c>
      <c r="L92" s="12" t="e">
        <f>VLOOKUP(C92,[1]Validation!E:W,14,FALSE)</f>
        <v>#N/A</v>
      </c>
      <c r="M92" s="12" t="s">
        <v>20</v>
      </c>
      <c r="N92" s="12" t="s">
        <v>130</v>
      </c>
      <c r="O92" s="12" t="s">
        <v>291</v>
      </c>
      <c r="P92" s="12"/>
      <c r="Q92" s="12" t="s">
        <v>284</v>
      </c>
      <c r="R92" s="12"/>
      <c r="S92" s="10"/>
    </row>
    <row r="93" spans="2:19" ht="39" thickBot="1" x14ac:dyDescent="0.3">
      <c r="B93" s="10"/>
      <c r="C93" s="11" t="s">
        <v>344</v>
      </c>
      <c r="D93" s="12" t="s">
        <v>345</v>
      </c>
      <c r="E93" s="12" t="s">
        <v>23</v>
      </c>
      <c r="F93" s="12" t="s">
        <v>294</v>
      </c>
      <c r="G93" s="12"/>
      <c r="H93" s="15" t="s">
        <v>295</v>
      </c>
      <c r="I93" s="12" t="s">
        <v>343</v>
      </c>
      <c r="J93" s="12"/>
      <c r="K93" s="12" t="e">
        <f>VLOOKUP(C93,[1]Validation!E:V,14,FALSE)</f>
        <v>#N/A</v>
      </c>
      <c r="L93" s="12" t="e">
        <f>VLOOKUP(C93,[1]Validation!E:W,14,FALSE)</f>
        <v>#N/A</v>
      </c>
      <c r="M93" s="12" t="s">
        <v>43</v>
      </c>
      <c r="N93" s="12"/>
      <c r="O93" s="12"/>
      <c r="P93" s="12"/>
      <c r="Q93" s="12" t="s">
        <v>296</v>
      </c>
      <c r="R93" s="12"/>
      <c r="S93" s="10"/>
    </row>
    <row r="94" spans="2:19" ht="39" thickBot="1" x14ac:dyDescent="0.3">
      <c r="B94" s="10"/>
      <c r="C94" s="11" t="s">
        <v>346</v>
      </c>
      <c r="D94" s="12" t="s">
        <v>347</v>
      </c>
      <c r="E94" s="12" t="s">
        <v>52</v>
      </c>
      <c r="F94" s="12" t="s">
        <v>348</v>
      </c>
      <c r="G94" s="12" t="s">
        <v>281</v>
      </c>
      <c r="H94" s="15" t="s">
        <v>282</v>
      </c>
      <c r="I94" s="12" t="s">
        <v>319</v>
      </c>
      <c r="J94" s="12"/>
      <c r="K94" s="12" t="str">
        <f>VLOOKUP(C94,[1]Validation!E:V,14,FALSE)</f>
        <v>number..' should be &gt;=0 &amp; =&lt; 7</v>
      </c>
      <c r="L94" s="12" t="str">
        <f>VLOOKUP(C94,[1]Validation!E:W,15,FALSE)</f>
        <v>NUMBER SEEMS TOO LOW/HIGH. PLEASE CHECK</v>
      </c>
      <c r="M94" s="12" t="s">
        <v>20</v>
      </c>
      <c r="N94" s="12" t="s">
        <v>130</v>
      </c>
      <c r="O94" s="12" t="s">
        <v>283</v>
      </c>
      <c r="P94" s="12"/>
      <c r="Q94" s="12" t="s">
        <v>284</v>
      </c>
      <c r="R94" s="12"/>
      <c r="S94" s="10"/>
    </row>
    <row r="95" spans="2:19" ht="153.75" thickBot="1" x14ac:dyDescent="0.3">
      <c r="B95" s="10"/>
      <c r="C95" s="11" t="s">
        <v>349</v>
      </c>
      <c r="D95" s="12" t="s">
        <v>350</v>
      </c>
      <c r="E95" s="12" t="s">
        <v>23</v>
      </c>
      <c r="F95" s="12" t="s">
        <v>310</v>
      </c>
      <c r="G95" s="12"/>
      <c r="H95" s="12" t="s">
        <v>289</v>
      </c>
      <c r="I95" s="12" t="s">
        <v>351</v>
      </c>
      <c r="J95" s="12"/>
      <c r="K95" s="12" t="e">
        <f>VLOOKUP(C95,[1]Validation!E:V,14,FALSE)</f>
        <v>#N/A</v>
      </c>
      <c r="L95" s="12" t="e">
        <f>VLOOKUP(C95,[1]Validation!E:W,14,FALSE)</f>
        <v>#N/A</v>
      </c>
      <c r="M95" s="12" t="s">
        <v>20</v>
      </c>
      <c r="N95" s="12" t="s">
        <v>130</v>
      </c>
      <c r="O95" s="12" t="s">
        <v>291</v>
      </c>
      <c r="P95" s="12"/>
      <c r="Q95" s="12" t="s">
        <v>284</v>
      </c>
      <c r="R95" s="12"/>
      <c r="S95" s="10"/>
    </row>
    <row r="96" spans="2:19" ht="39" thickBot="1" x14ac:dyDescent="0.3">
      <c r="B96" s="10"/>
      <c r="C96" s="11" t="s">
        <v>352</v>
      </c>
      <c r="D96" s="12" t="s">
        <v>353</v>
      </c>
      <c r="E96" s="12" t="s">
        <v>23</v>
      </c>
      <c r="F96" s="12" t="s">
        <v>294</v>
      </c>
      <c r="G96" s="12"/>
      <c r="H96" s="15" t="s">
        <v>295</v>
      </c>
      <c r="I96" s="12" t="s">
        <v>351</v>
      </c>
      <c r="J96" s="12"/>
      <c r="K96" s="12" t="e">
        <f>VLOOKUP(C96,[1]Validation!E:V,14,FALSE)</f>
        <v>#N/A</v>
      </c>
      <c r="L96" s="12" t="e">
        <f>VLOOKUP(C96,[1]Validation!E:W,14,FALSE)</f>
        <v>#N/A</v>
      </c>
      <c r="M96" s="12" t="s">
        <v>43</v>
      </c>
      <c r="N96" s="12"/>
      <c r="O96" s="12"/>
      <c r="P96" s="12"/>
      <c r="Q96" s="12" t="s">
        <v>296</v>
      </c>
      <c r="R96" s="12"/>
      <c r="S96" s="10"/>
    </row>
    <row r="97" spans="2:19" ht="39" thickBot="1" x14ac:dyDescent="0.3">
      <c r="B97" s="10"/>
      <c r="C97" s="11" t="s">
        <v>354</v>
      </c>
      <c r="D97" s="12" t="s">
        <v>355</v>
      </c>
      <c r="E97" s="12" t="s">
        <v>52</v>
      </c>
      <c r="F97" s="12" t="s">
        <v>356</v>
      </c>
      <c r="G97" s="12" t="s">
        <v>281</v>
      </c>
      <c r="H97" s="15" t="s">
        <v>282</v>
      </c>
      <c r="I97" s="12"/>
      <c r="J97" s="12"/>
      <c r="K97" s="12" t="str">
        <f>VLOOKUP(C97,[1]Validation!E:V,14,FALSE)</f>
        <v>number..' should be &gt;=0 &amp; =&lt; 7</v>
      </c>
      <c r="L97" s="12" t="str">
        <f>VLOOKUP(C97,[1]Validation!E:W,15,FALSE)</f>
        <v>NUMBER SEEMS TOO LOW/HIGH. PLEASE CHECK</v>
      </c>
      <c r="M97" s="12" t="s">
        <v>20</v>
      </c>
      <c r="N97" s="12" t="s">
        <v>130</v>
      </c>
      <c r="O97" s="12" t="s">
        <v>283</v>
      </c>
      <c r="P97" s="12"/>
      <c r="Q97" s="12" t="s">
        <v>284</v>
      </c>
      <c r="R97" s="12"/>
      <c r="S97" s="10"/>
    </row>
    <row r="98" spans="2:19" ht="153.75" thickBot="1" x14ac:dyDescent="0.3">
      <c r="B98" s="10"/>
      <c r="C98" s="11" t="s">
        <v>357</v>
      </c>
      <c r="D98" s="12" t="s">
        <v>358</v>
      </c>
      <c r="E98" s="12" t="s">
        <v>23</v>
      </c>
      <c r="F98" s="12" t="s">
        <v>310</v>
      </c>
      <c r="G98" s="12"/>
      <c r="H98" s="12" t="s">
        <v>289</v>
      </c>
      <c r="I98" s="12" t="s">
        <v>359</v>
      </c>
      <c r="J98" s="12"/>
      <c r="K98" s="12" t="e">
        <f>VLOOKUP(C98,[1]Validation!E:V,14,FALSE)</f>
        <v>#N/A</v>
      </c>
      <c r="L98" s="12" t="e">
        <f>VLOOKUP(C98,[1]Validation!E:W,14,FALSE)</f>
        <v>#N/A</v>
      </c>
      <c r="M98" s="12" t="s">
        <v>20</v>
      </c>
      <c r="N98" s="12" t="s">
        <v>130</v>
      </c>
      <c r="O98" s="12" t="s">
        <v>291</v>
      </c>
      <c r="P98" s="12"/>
      <c r="Q98" s="12" t="s">
        <v>284</v>
      </c>
      <c r="R98" s="12"/>
      <c r="S98" s="10"/>
    </row>
    <row r="99" spans="2:19" ht="39" thickBot="1" x14ac:dyDescent="0.3">
      <c r="B99" s="10"/>
      <c r="C99" s="11" t="s">
        <v>360</v>
      </c>
      <c r="D99" s="12" t="s">
        <v>361</v>
      </c>
      <c r="E99" s="12" t="s">
        <v>23</v>
      </c>
      <c r="F99" s="12" t="s">
        <v>294</v>
      </c>
      <c r="G99" s="12"/>
      <c r="H99" s="15" t="s">
        <v>295</v>
      </c>
      <c r="I99" s="12" t="s">
        <v>359</v>
      </c>
      <c r="J99" s="12"/>
      <c r="K99" s="12" t="e">
        <f>VLOOKUP(C99,[1]Validation!E:V,14,FALSE)</f>
        <v>#N/A</v>
      </c>
      <c r="L99" s="12" t="e">
        <f>VLOOKUP(C99,[1]Validation!E:W,14,FALSE)</f>
        <v>#N/A</v>
      </c>
      <c r="M99" s="12" t="s">
        <v>43</v>
      </c>
      <c r="N99" s="12"/>
      <c r="O99" s="12"/>
      <c r="P99" s="12"/>
      <c r="Q99" s="12" t="s">
        <v>296</v>
      </c>
      <c r="R99" s="12"/>
      <c r="S99" s="10"/>
    </row>
    <row r="100" spans="2:19" ht="77.25" thickBot="1" x14ac:dyDescent="0.3">
      <c r="B100" s="10"/>
      <c r="C100" s="11" t="s">
        <v>362</v>
      </c>
      <c r="D100" s="12" t="s">
        <v>363</v>
      </c>
      <c r="E100" s="12" t="s">
        <v>52</v>
      </c>
      <c r="F100" s="12" t="s">
        <v>364</v>
      </c>
      <c r="G100" s="12" t="s">
        <v>281</v>
      </c>
      <c r="H100" s="15" t="s">
        <v>282</v>
      </c>
      <c r="I100" s="12" t="s">
        <v>359</v>
      </c>
      <c r="J100" s="12"/>
      <c r="K100" s="12" t="str">
        <f>VLOOKUP(C100,[1]Validation!E:V,14,FALSE)</f>
        <v>number..' should be &gt;=0 &amp; =&lt; 7</v>
      </c>
      <c r="L100" s="12" t="str">
        <f>VLOOKUP(C100,[1]Validation!E:W,15,FALSE)</f>
        <v>NUMBER SEEMS TOO LOW/HIGH. PLEASE CHECK</v>
      </c>
      <c r="M100" s="12" t="s">
        <v>20</v>
      </c>
      <c r="N100" s="12" t="s">
        <v>130</v>
      </c>
      <c r="O100" s="12" t="s">
        <v>283</v>
      </c>
      <c r="P100" s="12"/>
      <c r="Q100" s="12" t="s">
        <v>284</v>
      </c>
      <c r="R100" s="12"/>
      <c r="S100" s="10"/>
    </row>
    <row r="101" spans="2:19" ht="153.75" thickBot="1" x14ac:dyDescent="0.3">
      <c r="B101" s="10"/>
      <c r="C101" s="11" t="s">
        <v>365</v>
      </c>
      <c r="D101" s="12" t="s">
        <v>366</v>
      </c>
      <c r="E101" s="12" t="s">
        <v>23</v>
      </c>
      <c r="F101" s="12" t="s">
        <v>288</v>
      </c>
      <c r="G101" s="12"/>
      <c r="H101" s="12" t="s">
        <v>289</v>
      </c>
      <c r="I101" s="12" t="s">
        <v>367</v>
      </c>
      <c r="J101" s="12"/>
      <c r="K101" s="12" t="e">
        <f>VLOOKUP(C101,[1]Validation!E:V,14,FALSE)</f>
        <v>#N/A</v>
      </c>
      <c r="L101" s="12" t="e">
        <f>VLOOKUP(C101,[1]Validation!E:W,14,FALSE)</f>
        <v>#N/A</v>
      </c>
      <c r="M101" s="12" t="s">
        <v>20</v>
      </c>
      <c r="N101" s="12" t="s">
        <v>130</v>
      </c>
      <c r="O101" s="12" t="s">
        <v>291</v>
      </c>
      <c r="P101" s="12"/>
      <c r="Q101" s="12" t="s">
        <v>284</v>
      </c>
      <c r="R101" s="12"/>
      <c r="S101" s="10"/>
    </row>
    <row r="102" spans="2:19" ht="39" thickBot="1" x14ac:dyDescent="0.3">
      <c r="B102" s="10"/>
      <c r="C102" s="11" t="s">
        <v>368</v>
      </c>
      <c r="D102" s="12" t="s">
        <v>369</v>
      </c>
      <c r="E102" s="12" t="s">
        <v>23</v>
      </c>
      <c r="F102" s="12" t="s">
        <v>294</v>
      </c>
      <c r="G102" s="12"/>
      <c r="H102" s="15" t="s">
        <v>295</v>
      </c>
      <c r="I102" s="12" t="s">
        <v>367</v>
      </c>
      <c r="J102" s="12"/>
      <c r="K102" s="12" t="e">
        <f>VLOOKUP(C102,[1]Validation!E:V,14,FALSE)</f>
        <v>#N/A</v>
      </c>
      <c r="L102" s="12" t="e">
        <f>VLOOKUP(C102,[1]Validation!E:W,14,FALSE)</f>
        <v>#N/A</v>
      </c>
      <c r="M102" s="12" t="s">
        <v>43</v>
      </c>
      <c r="N102" s="12"/>
      <c r="O102" s="12"/>
      <c r="P102" s="12"/>
      <c r="Q102" s="12" t="s">
        <v>296</v>
      </c>
      <c r="R102" s="12"/>
      <c r="S102" s="10"/>
    </row>
    <row r="103" spans="2:19" ht="39" thickBot="1" x14ac:dyDescent="0.3">
      <c r="B103" s="10"/>
      <c r="C103" s="11" t="s">
        <v>370</v>
      </c>
      <c r="D103" s="12" t="s">
        <v>371</v>
      </c>
      <c r="E103" s="12" t="s">
        <v>52</v>
      </c>
      <c r="F103" s="12" t="s">
        <v>372</v>
      </c>
      <c r="G103" s="12" t="s">
        <v>281</v>
      </c>
      <c r="H103" s="15" t="s">
        <v>282</v>
      </c>
      <c r="I103" s="12" t="s">
        <v>359</v>
      </c>
      <c r="J103" s="12"/>
      <c r="K103" s="12" t="str">
        <f>VLOOKUP(C103,[1]Validation!E:V,14,FALSE)</f>
        <v>number..' should be &gt;=0 &amp; =&lt; 7</v>
      </c>
      <c r="L103" s="12" t="str">
        <f>VLOOKUP(C103,[1]Validation!E:W,15,FALSE)</f>
        <v>NUMBER SEEMS TOO LOW/HIGH. PLEASE CHECK</v>
      </c>
      <c r="M103" s="12" t="s">
        <v>20</v>
      </c>
      <c r="N103" s="12" t="s">
        <v>130</v>
      </c>
      <c r="O103" s="12" t="s">
        <v>283</v>
      </c>
      <c r="P103" s="12"/>
      <c r="Q103" s="12" t="s">
        <v>284</v>
      </c>
      <c r="R103" s="12"/>
      <c r="S103" s="10"/>
    </row>
    <row r="104" spans="2:19" ht="153.75" thickBot="1" x14ac:dyDescent="0.3">
      <c r="B104" s="10"/>
      <c r="C104" s="11" t="s">
        <v>373</v>
      </c>
      <c r="D104" s="12" t="s">
        <v>374</v>
      </c>
      <c r="E104" s="12" t="s">
        <v>23</v>
      </c>
      <c r="F104" s="12" t="s">
        <v>310</v>
      </c>
      <c r="G104" s="12"/>
      <c r="H104" s="12" t="s">
        <v>289</v>
      </c>
      <c r="I104" s="12" t="s">
        <v>375</v>
      </c>
      <c r="J104" s="12"/>
      <c r="K104" s="12" t="e">
        <f>VLOOKUP(C104,[1]Validation!E:V,14,FALSE)</f>
        <v>#N/A</v>
      </c>
      <c r="L104" s="12" t="e">
        <f>VLOOKUP(C104,[1]Validation!E:W,14,FALSE)</f>
        <v>#N/A</v>
      </c>
      <c r="M104" s="12" t="s">
        <v>20</v>
      </c>
      <c r="N104" s="12" t="s">
        <v>130</v>
      </c>
      <c r="O104" s="12" t="s">
        <v>291</v>
      </c>
      <c r="P104" s="12"/>
      <c r="Q104" s="12" t="s">
        <v>284</v>
      </c>
      <c r="R104" s="12"/>
      <c r="S104" s="10"/>
    </row>
    <row r="105" spans="2:19" ht="39" thickBot="1" x14ac:dyDescent="0.3">
      <c r="B105" s="10"/>
      <c r="C105" s="11" t="s">
        <v>376</v>
      </c>
      <c r="D105" s="12" t="s">
        <v>377</v>
      </c>
      <c r="E105" s="12" t="s">
        <v>23</v>
      </c>
      <c r="F105" s="12" t="s">
        <v>294</v>
      </c>
      <c r="G105" s="12"/>
      <c r="H105" s="15" t="s">
        <v>295</v>
      </c>
      <c r="I105" s="12" t="s">
        <v>375</v>
      </c>
      <c r="J105" s="12"/>
      <c r="K105" s="12" t="e">
        <f>VLOOKUP(C105,[1]Validation!E:V,14,FALSE)</f>
        <v>#N/A</v>
      </c>
      <c r="L105" s="12" t="e">
        <f>VLOOKUP(C105,[1]Validation!E:W,14,FALSE)</f>
        <v>#N/A</v>
      </c>
      <c r="M105" s="12" t="s">
        <v>43</v>
      </c>
      <c r="N105" s="12"/>
      <c r="O105" s="12"/>
      <c r="P105" s="12"/>
      <c r="Q105" s="12" t="s">
        <v>296</v>
      </c>
      <c r="R105" s="12"/>
      <c r="S105" s="10"/>
    </row>
    <row r="106" spans="2:19" ht="39" thickBot="1" x14ac:dyDescent="0.3">
      <c r="B106" s="10"/>
      <c r="C106" s="11" t="s">
        <v>378</v>
      </c>
      <c r="D106" s="12" t="s">
        <v>379</v>
      </c>
      <c r="E106" s="12" t="s">
        <v>52</v>
      </c>
      <c r="F106" s="12" t="s">
        <v>380</v>
      </c>
      <c r="G106" s="12" t="s">
        <v>281</v>
      </c>
      <c r="H106" s="15" t="s">
        <v>282</v>
      </c>
      <c r="I106" s="12"/>
      <c r="J106" s="12"/>
      <c r="K106" s="12" t="str">
        <f>VLOOKUP(C106,[1]Validation!E:V,14,FALSE)</f>
        <v>number..' should be &gt;=0 &amp; =&lt; 7</v>
      </c>
      <c r="L106" s="12" t="str">
        <f>VLOOKUP(C106,[1]Validation!E:W,15,FALSE)</f>
        <v>NUMBER SEEMS TOO LOW/HIGH. PLEASE CHECK</v>
      </c>
      <c r="M106" s="12" t="s">
        <v>20</v>
      </c>
      <c r="N106" s="12" t="s">
        <v>130</v>
      </c>
      <c r="O106" s="12" t="s">
        <v>283</v>
      </c>
      <c r="P106" s="12"/>
      <c r="Q106" s="12" t="s">
        <v>284</v>
      </c>
      <c r="R106" s="12"/>
      <c r="S106" s="10"/>
    </row>
    <row r="107" spans="2:19" ht="153.75" thickBot="1" x14ac:dyDescent="0.3">
      <c r="B107" s="10"/>
      <c r="C107" s="11" t="s">
        <v>381</v>
      </c>
      <c r="D107" s="12" t="s">
        <v>382</v>
      </c>
      <c r="E107" s="12" t="s">
        <v>23</v>
      </c>
      <c r="F107" s="12" t="s">
        <v>310</v>
      </c>
      <c r="G107" s="12"/>
      <c r="H107" s="12" t="s">
        <v>289</v>
      </c>
      <c r="I107" s="12" t="s">
        <v>383</v>
      </c>
      <c r="J107" s="12"/>
      <c r="K107" s="12" t="e">
        <f>VLOOKUP(C107,[1]Validation!E:V,14,FALSE)</f>
        <v>#N/A</v>
      </c>
      <c r="L107" s="12" t="e">
        <f>VLOOKUP(C107,[1]Validation!E:W,14,FALSE)</f>
        <v>#N/A</v>
      </c>
      <c r="M107" s="12" t="s">
        <v>20</v>
      </c>
      <c r="N107" s="12" t="s">
        <v>130</v>
      </c>
      <c r="O107" s="12" t="s">
        <v>291</v>
      </c>
      <c r="P107" s="12"/>
      <c r="Q107" s="12" t="s">
        <v>284</v>
      </c>
      <c r="R107" s="12"/>
      <c r="S107" s="10"/>
    </row>
    <row r="108" spans="2:19" ht="39" thickBot="1" x14ac:dyDescent="0.3">
      <c r="B108" s="10"/>
      <c r="C108" s="11" t="s">
        <v>384</v>
      </c>
      <c r="D108" s="12" t="s">
        <v>385</v>
      </c>
      <c r="E108" s="12" t="s">
        <v>23</v>
      </c>
      <c r="F108" s="12" t="s">
        <v>294</v>
      </c>
      <c r="G108" s="12"/>
      <c r="H108" s="15" t="s">
        <v>295</v>
      </c>
      <c r="I108" s="12" t="s">
        <v>383</v>
      </c>
      <c r="J108" s="12"/>
      <c r="K108" s="12" t="e">
        <f>VLOOKUP(C108,[1]Validation!E:V,14,FALSE)</f>
        <v>#N/A</v>
      </c>
      <c r="L108" s="12" t="e">
        <f>VLOOKUP(C108,[1]Validation!E:W,14,FALSE)</f>
        <v>#N/A</v>
      </c>
      <c r="M108" s="12" t="s">
        <v>43</v>
      </c>
      <c r="N108" s="12"/>
      <c r="O108" s="12"/>
      <c r="P108" s="12"/>
      <c r="Q108" s="12" t="s">
        <v>296</v>
      </c>
      <c r="R108" s="12"/>
      <c r="S108" s="10"/>
    </row>
    <row r="109" spans="2:19" ht="39" thickBot="1" x14ac:dyDescent="0.3">
      <c r="B109" s="10"/>
      <c r="C109" s="11" t="s">
        <v>386</v>
      </c>
      <c r="D109" s="12" t="s">
        <v>387</v>
      </c>
      <c r="E109" s="12" t="s">
        <v>52</v>
      </c>
      <c r="F109" s="12" t="s">
        <v>388</v>
      </c>
      <c r="G109" s="12" t="s">
        <v>281</v>
      </c>
      <c r="H109" s="15" t="s">
        <v>282</v>
      </c>
      <c r="I109" s="12" t="s">
        <v>383</v>
      </c>
      <c r="J109" s="12"/>
      <c r="K109" s="12" t="str">
        <f>VLOOKUP(C109,[1]Validation!E:V,14,FALSE)</f>
        <v>number..' should be &gt;=0 &amp; =&lt; 7</v>
      </c>
      <c r="L109" s="12" t="str">
        <f>VLOOKUP(C109,[1]Validation!E:W,15,FALSE)</f>
        <v>NUMBER SEEMS TOO LOW/HIGH. PLEASE CHECK</v>
      </c>
      <c r="M109" s="12" t="s">
        <v>20</v>
      </c>
      <c r="N109" s="12" t="s">
        <v>130</v>
      </c>
      <c r="O109" s="12" t="s">
        <v>283</v>
      </c>
      <c r="P109" s="12"/>
      <c r="Q109" s="12" t="s">
        <v>284</v>
      </c>
      <c r="R109" s="12"/>
      <c r="S109" s="10"/>
    </row>
    <row r="110" spans="2:19" ht="153.75" thickBot="1" x14ac:dyDescent="0.3">
      <c r="B110" s="10"/>
      <c r="C110" s="11" t="s">
        <v>389</v>
      </c>
      <c r="D110" s="12" t="s">
        <v>390</v>
      </c>
      <c r="E110" s="12" t="s">
        <v>23</v>
      </c>
      <c r="F110" s="12" t="s">
        <v>310</v>
      </c>
      <c r="G110" s="12"/>
      <c r="H110" s="12" t="s">
        <v>289</v>
      </c>
      <c r="I110" s="12" t="s">
        <v>391</v>
      </c>
      <c r="J110" s="12"/>
      <c r="K110" s="12" t="e">
        <f>VLOOKUP(C110,[1]Validation!E:V,14,FALSE)</f>
        <v>#N/A</v>
      </c>
      <c r="L110" s="12" t="e">
        <f>VLOOKUP(C110,[1]Validation!E:W,14,FALSE)</f>
        <v>#N/A</v>
      </c>
      <c r="M110" s="12" t="s">
        <v>20</v>
      </c>
      <c r="N110" s="12" t="s">
        <v>130</v>
      </c>
      <c r="O110" s="12" t="s">
        <v>291</v>
      </c>
      <c r="P110" s="12"/>
      <c r="Q110" s="12" t="s">
        <v>284</v>
      </c>
      <c r="R110" s="12"/>
      <c r="S110" s="10"/>
    </row>
    <row r="111" spans="2:19" ht="39" thickBot="1" x14ac:dyDescent="0.3">
      <c r="B111" s="10"/>
      <c r="C111" s="11" t="s">
        <v>392</v>
      </c>
      <c r="D111" s="12" t="s">
        <v>393</v>
      </c>
      <c r="E111" s="12" t="s">
        <v>23</v>
      </c>
      <c r="F111" s="12" t="s">
        <v>294</v>
      </c>
      <c r="G111" s="12"/>
      <c r="H111" s="15" t="s">
        <v>295</v>
      </c>
      <c r="I111" s="12" t="s">
        <v>391</v>
      </c>
      <c r="J111" s="12"/>
      <c r="K111" s="12" t="e">
        <f>VLOOKUP(C111,[1]Validation!E:V,14,FALSE)</f>
        <v>#N/A</v>
      </c>
      <c r="L111" s="12" t="e">
        <f>VLOOKUP(C111,[1]Validation!E:W,14,FALSE)</f>
        <v>#N/A</v>
      </c>
      <c r="M111" s="12" t="s">
        <v>43</v>
      </c>
      <c r="N111" s="12"/>
      <c r="O111" s="12"/>
      <c r="P111" s="12"/>
      <c r="Q111" s="12" t="s">
        <v>296</v>
      </c>
      <c r="R111" s="12"/>
      <c r="S111" s="10"/>
    </row>
    <row r="112" spans="2:19" ht="64.5" thickBot="1" x14ac:dyDescent="0.3">
      <c r="B112" s="10"/>
      <c r="C112" s="11" t="s">
        <v>394</v>
      </c>
      <c r="D112" s="12" t="s">
        <v>395</v>
      </c>
      <c r="E112" s="12" t="s">
        <v>52</v>
      </c>
      <c r="F112" s="12" t="s">
        <v>396</v>
      </c>
      <c r="G112" s="12" t="s">
        <v>281</v>
      </c>
      <c r="H112" s="12" t="s">
        <v>282</v>
      </c>
      <c r="I112" s="12"/>
      <c r="J112" s="12"/>
      <c r="K112" s="12" t="str">
        <f>VLOOKUP(C112,[1]Validation!E:V,14,FALSE)</f>
        <v>number..' should be &gt;=0 &amp; =&lt; 7</v>
      </c>
      <c r="L112" s="12" t="str">
        <f>VLOOKUP(C112,[1]Validation!E:W,15,FALSE)</f>
        <v>NUMBER SEEMS TOO LOW/HIGH. PLEASE CHECK</v>
      </c>
      <c r="M112" s="12" t="s">
        <v>20</v>
      </c>
      <c r="N112" s="12" t="s">
        <v>130</v>
      </c>
      <c r="O112" s="12" t="s">
        <v>283</v>
      </c>
      <c r="P112" s="12"/>
      <c r="Q112" s="12" t="s">
        <v>284</v>
      </c>
      <c r="R112" s="12"/>
      <c r="S112" s="10"/>
    </row>
    <row r="113" spans="2:19" ht="153.75" thickBot="1" x14ac:dyDescent="0.3">
      <c r="B113" s="10"/>
      <c r="C113" s="11" t="s">
        <v>397</v>
      </c>
      <c r="D113" s="12" t="s">
        <v>398</v>
      </c>
      <c r="E113" s="12" t="s">
        <v>23</v>
      </c>
      <c r="F113" s="12" t="s">
        <v>288</v>
      </c>
      <c r="G113" s="12"/>
      <c r="H113" s="12" t="s">
        <v>289</v>
      </c>
      <c r="I113" s="12" t="s">
        <v>399</v>
      </c>
      <c r="J113" s="12"/>
      <c r="K113" s="12" t="e">
        <f>VLOOKUP(C113,[1]Validation!E:V,14,FALSE)</f>
        <v>#N/A</v>
      </c>
      <c r="L113" s="12" t="e">
        <f>VLOOKUP(C113,[1]Validation!E:W,14,FALSE)</f>
        <v>#N/A</v>
      </c>
      <c r="M113" s="12" t="s">
        <v>20</v>
      </c>
      <c r="N113" s="12" t="s">
        <v>130</v>
      </c>
      <c r="O113" s="12" t="s">
        <v>291</v>
      </c>
      <c r="P113" s="12"/>
      <c r="Q113" s="12" t="s">
        <v>284</v>
      </c>
      <c r="R113" s="12"/>
      <c r="S113" s="10"/>
    </row>
    <row r="114" spans="2:19" ht="39" thickBot="1" x14ac:dyDescent="0.3">
      <c r="B114" s="10"/>
      <c r="C114" s="11" t="s">
        <v>400</v>
      </c>
      <c r="D114" s="12" t="s">
        <v>401</v>
      </c>
      <c r="E114" s="12" t="s">
        <v>23</v>
      </c>
      <c r="F114" s="12" t="s">
        <v>294</v>
      </c>
      <c r="G114" s="12"/>
      <c r="H114" s="15" t="s">
        <v>295</v>
      </c>
      <c r="I114" s="12" t="s">
        <v>399</v>
      </c>
      <c r="J114" s="12"/>
      <c r="K114" s="12" t="e">
        <f>VLOOKUP(C114,[1]Validation!E:V,14,FALSE)</f>
        <v>#N/A</v>
      </c>
      <c r="L114" s="12" t="e">
        <f>VLOOKUP(C114,[1]Validation!E:W,14,FALSE)</f>
        <v>#N/A</v>
      </c>
      <c r="M114" s="12" t="s">
        <v>43</v>
      </c>
      <c r="N114" s="12"/>
      <c r="O114" s="12"/>
      <c r="P114" s="12"/>
      <c r="Q114" s="12" t="s">
        <v>296</v>
      </c>
      <c r="R114" s="12"/>
      <c r="S114" s="10"/>
    </row>
    <row r="115" spans="2:19" ht="39" thickBot="1" x14ac:dyDescent="0.3">
      <c r="B115" s="10"/>
      <c r="C115" s="11" t="s">
        <v>402</v>
      </c>
      <c r="D115" s="12" t="s">
        <v>403</v>
      </c>
      <c r="E115" s="12" t="s">
        <v>52</v>
      </c>
      <c r="F115" s="12" t="s">
        <v>404</v>
      </c>
      <c r="G115" s="12" t="s">
        <v>281</v>
      </c>
      <c r="H115" s="15" t="s">
        <v>282</v>
      </c>
      <c r="I115" s="12"/>
      <c r="J115" s="12"/>
      <c r="K115" s="12" t="str">
        <f>VLOOKUP(C115,[1]Validation!E:V,14,FALSE)</f>
        <v>number..' should be &gt;=0 &amp; =&lt; 7</v>
      </c>
      <c r="L115" s="12" t="str">
        <f>VLOOKUP(C115,[1]Validation!E:W,15,FALSE)</f>
        <v>NUMBER SEEMS TOO LOW/HIGH. PLEASE CHECK</v>
      </c>
      <c r="M115" s="12" t="s">
        <v>20</v>
      </c>
      <c r="N115" s="12" t="s">
        <v>130</v>
      </c>
      <c r="O115" s="12" t="s">
        <v>283</v>
      </c>
      <c r="P115" s="12"/>
      <c r="Q115" s="12" t="s">
        <v>284</v>
      </c>
      <c r="R115" s="12"/>
      <c r="S115" s="10"/>
    </row>
    <row r="116" spans="2:19" ht="153.75" thickBot="1" x14ac:dyDescent="0.3">
      <c r="B116" s="10"/>
      <c r="C116" s="11" t="s">
        <v>405</v>
      </c>
      <c r="D116" s="12" t="s">
        <v>406</v>
      </c>
      <c r="E116" s="12" t="s">
        <v>23</v>
      </c>
      <c r="F116" s="12" t="s">
        <v>310</v>
      </c>
      <c r="G116" s="12"/>
      <c r="H116" s="12" t="s">
        <v>289</v>
      </c>
      <c r="I116" s="12" t="s">
        <v>407</v>
      </c>
      <c r="J116" s="12"/>
      <c r="K116" s="12" t="e">
        <f>VLOOKUP(C116,[1]Validation!E:V,14,FALSE)</f>
        <v>#N/A</v>
      </c>
      <c r="L116" s="12" t="e">
        <f>VLOOKUP(C116,[1]Validation!E:W,14,FALSE)</f>
        <v>#N/A</v>
      </c>
      <c r="M116" s="12" t="s">
        <v>20</v>
      </c>
      <c r="N116" s="12" t="s">
        <v>130</v>
      </c>
      <c r="O116" s="12" t="s">
        <v>291</v>
      </c>
      <c r="P116" s="12"/>
      <c r="Q116" s="12" t="s">
        <v>284</v>
      </c>
      <c r="R116" s="12"/>
      <c r="S116" s="10"/>
    </row>
    <row r="117" spans="2:19" ht="39" thickBot="1" x14ac:dyDescent="0.3">
      <c r="B117" s="10"/>
      <c r="C117" s="11" t="s">
        <v>408</v>
      </c>
      <c r="D117" s="12" t="s">
        <v>409</v>
      </c>
      <c r="E117" s="12" t="s">
        <v>23</v>
      </c>
      <c r="F117" s="12" t="s">
        <v>294</v>
      </c>
      <c r="G117" s="12"/>
      <c r="H117" s="15" t="s">
        <v>295</v>
      </c>
      <c r="I117" s="12" t="s">
        <v>407</v>
      </c>
      <c r="J117" s="12"/>
      <c r="K117" s="12" t="e">
        <f>VLOOKUP(C117,[1]Validation!E:V,14,FALSE)</f>
        <v>#N/A</v>
      </c>
      <c r="L117" s="12" t="e">
        <f>VLOOKUP(C117,[1]Validation!E:W,14,FALSE)</f>
        <v>#N/A</v>
      </c>
      <c r="M117" s="12" t="s">
        <v>43</v>
      </c>
      <c r="N117" s="12"/>
      <c r="O117" s="12"/>
      <c r="P117" s="12"/>
      <c r="Q117" s="12" t="s">
        <v>296</v>
      </c>
      <c r="R117" s="12"/>
      <c r="S117" s="10"/>
    </row>
    <row r="118" spans="2:19" ht="64.5" thickBot="1" x14ac:dyDescent="0.3">
      <c r="B118" s="10"/>
      <c r="C118" s="11" t="s">
        <v>410</v>
      </c>
      <c r="D118" s="12" t="s">
        <v>411</v>
      </c>
      <c r="E118" s="12" t="s">
        <v>52</v>
      </c>
      <c r="F118" s="12" t="s">
        <v>412</v>
      </c>
      <c r="G118" s="12" t="s">
        <v>281</v>
      </c>
      <c r="H118" s="15" t="s">
        <v>282</v>
      </c>
      <c r="I118" s="12"/>
      <c r="J118" s="12"/>
      <c r="K118" s="12" t="str">
        <f>VLOOKUP(C118,[1]Validation!E:V,14,FALSE)</f>
        <v>number..' should be &gt;=0 &amp; =&lt; 7</v>
      </c>
      <c r="L118" s="12" t="str">
        <f>VLOOKUP(C118,[1]Validation!E:W,15,FALSE)</f>
        <v>NUMBER SEEMS TOO LOW/HIGH. PLEASE CHECK</v>
      </c>
      <c r="M118" s="12" t="s">
        <v>20</v>
      </c>
      <c r="N118" s="12" t="s">
        <v>130</v>
      </c>
      <c r="O118" s="12" t="s">
        <v>283</v>
      </c>
      <c r="P118" s="12"/>
      <c r="Q118" s="12" t="s">
        <v>284</v>
      </c>
      <c r="R118" s="12"/>
      <c r="S118" s="10"/>
    </row>
    <row r="119" spans="2:19" ht="153.75" thickBot="1" x14ac:dyDescent="0.3">
      <c r="B119" s="10"/>
      <c r="C119" s="11" t="s">
        <v>413</v>
      </c>
      <c r="D119" s="12" t="s">
        <v>414</v>
      </c>
      <c r="E119" s="12" t="s">
        <v>23</v>
      </c>
      <c r="F119" s="12" t="s">
        <v>310</v>
      </c>
      <c r="G119" s="12"/>
      <c r="H119" s="12" t="s">
        <v>289</v>
      </c>
      <c r="I119" s="12" t="s">
        <v>415</v>
      </c>
      <c r="J119" s="12"/>
      <c r="K119" s="12" t="e">
        <f>VLOOKUP(C119,[1]Validation!E:V,14,FALSE)</f>
        <v>#N/A</v>
      </c>
      <c r="L119" s="12" t="e">
        <f>VLOOKUP(C119,[1]Validation!E:W,14,FALSE)</f>
        <v>#N/A</v>
      </c>
      <c r="M119" s="12" t="s">
        <v>20</v>
      </c>
      <c r="N119" s="12" t="s">
        <v>130</v>
      </c>
      <c r="O119" s="12" t="s">
        <v>291</v>
      </c>
      <c r="P119" s="12"/>
      <c r="Q119" s="12" t="s">
        <v>284</v>
      </c>
      <c r="R119" s="12"/>
      <c r="S119" s="10"/>
    </row>
    <row r="120" spans="2:19" ht="39" thickBot="1" x14ac:dyDescent="0.3">
      <c r="B120" s="10"/>
      <c r="C120" s="11" t="s">
        <v>416</v>
      </c>
      <c r="D120" s="12" t="s">
        <v>417</v>
      </c>
      <c r="E120" s="12" t="s">
        <v>23</v>
      </c>
      <c r="F120" s="12" t="s">
        <v>418</v>
      </c>
      <c r="G120" s="12"/>
      <c r="H120" s="15" t="s">
        <v>295</v>
      </c>
      <c r="I120" s="12" t="s">
        <v>415</v>
      </c>
      <c r="J120" s="12"/>
      <c r="K120" s="12" t="e">
        <f>VLOOKUP(C120,[1]Validation!E:V,14,FALSE)</f>
        <v>#N/A</v>
      </c>
      <c r="L120" s="12" t="e">
        <f>VLOOKUP(C120,[1]Validation!E:W,14,FALSE)</f>
        <v>#N/A</v>
      </c>
      <c r="M120" s="12" t="s">
        <v>43</v>
      </c>
      <c r="N120" s="12"/>
      <c r="O120" s="12"/>
      <c r="P120" s="12"/>
      <c r="Q120" s="12" t="s">
        <v>296</v>
      </c>
      <c r="R120" s="12"/>
      <c r="S120" s="10"/>
    </row>
  </sheetData>
  <autoFilter ref="B2:R120" xr:uid="{4FCE4240-CC41-4A20-A5DC-862BAC11F6BC}"/>
  <mergeCells count="5">
    <mergeCell ref="B5:I5"/>
    <mergeCell ref="B6:Q6"/>
    <mergeCell ref="B42:Q42"/>
    <mergeCell ref="B43:I43"/>
    <mergeCell ref="B71:Q71"/>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 Food &amp; Nutrition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Ilgi Bozdag</dc:creator>
  <cp:lastModifiedBy>Ilgi Bozdag</cp:lastModifiedBy>
  <dcterms:created xsi:type="dcterms:W3CDTF">2026-10-29T12:36:48Z</dcterms:created>
  <dcterms:modified xsi:type="dcterms:W3CDTF">2026-10-29T12:37:27Z</dcterms:modified>
</cp:coreProperties>
</file>