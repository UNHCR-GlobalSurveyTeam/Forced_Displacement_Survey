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unhcr365-my.sharepoint.com/personal/bozdag_unhcr_org/Documents/Desktop/UNHCR/R projets/Forced_Displacement_Survey/Forced_Displacement_Survey/Indicators/Module X - Household Roster/"/>
    </mc:Choice>
  </mc:AlternateContent>
  <xr:revisionPtr revIDLastSave="2" documentId="8_{4ABA37AF-F28B-41E3-8786-92C38EFCD260}" xr6:coauthVersionLast="47" xr6:coauthVersionMax="47" xr10:uidLastSave="{31745FFD-7F52-4DA1-8D1D-0213D9FB6D77}"/>
  <bookViews>
    <workbookView xWindow="-120" yWindow="-120" windowWidth="29040" windowHeight="15720" xr2:uid="{7E516413-8B5C-45E9-9EFB-22C1157F7508}"/>
  </bookViews>
  <sheets>
    <sheet name="HH Roster" sheetId="1" r:id="rId1"/>
  </sheets>
  <externalReferences>
    <externalReference r:id="rId2"/>
  </externalReferences>
  <definedNames>
    <definedName name="_xlnm._FilterDatabase" localSheetId="0" hidden="1">'HH Roster'!$A$2:$CT$99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99" i="1" l="1"/>
  <c r="P99" i="1"/>
  <c r="Q98" i="1"/>
  <c r="P98" i="1"/>
  <c r="Q97" i="1"/>
  <c r="P97" i="1"/>
  <c r="Q96" i="1"/>
  <c r="P96" i="1"/>
  <c r="Q95" i="1"/>
  <c r="P95" i="1"/>
  <c r="Q94" i="1"/>
  <c r="P94" i="1"/>
  <c r="Q93" i="1"/>
  <c r="P93" i="1"/>
  <c r="Q92" i="1"/>
  <c r="P92" i="1"/>
  <c r="Q91" i="1"/>
  <c r="P91" i="1"/>
  <c r="Q90" i="1"/>
  <c r="P90" i="1"/>
  <c r="Q89" i="1"/>
  <c r="P89"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5" i="1"/>
  <c r="P55" i="1"/>
  <c r="Q54" i="1"/>
  <c r="P54" i="1"/>
  <c r="Q53" i="1"/>
  <c r="P53" i="1"/>
  <c r="Q41" i="1"/>
  <c r="P41" i="1"/>
  <c r="Q40" i="1"/>
  <c r="P40" i="1"/>
  <c r="Q39" i="1"/>
  <c r="P39" i="1"/>
  <c r="Q38" i="1"/>
  <c r="P38" i="1"/>
  <c r="Q37" i="1"/>
  <c r="P37" i="1"/>
  <c r="Q36" i="1"/>
  <c r="P36" i="1"/>
  <c r="Q35" i="1"/>
  <c r="P35" i="1"/>
  <c r="Q34" i="1"/>
  <c r="P34" i="1"/>
  <c r="Q33" i="1"/>
  <c r="P33" i="1"/>
  <c r="Q31" i="1"/>
  <c r="P31" i="1"/>
  <c r="Q30" i="1"/>
  <c r="P30" i="1"/>
  <c r="Q29" i="1"/>
  <c r="P29" i="1"/>
  <c r="Q28" i="1"/>
  <c r="P28" i="1"/>
  <c r="Q25" i="1"/>
  <c r="P25" i="1"/>
  <c r="Q24" i="1"/>
  <c r="P24" i="1"/>
  <c r="Q23" i="1"/>
  <c r="P23" i="1"/>
  <c r="Q22" i="1"/>
  <c r="P22" i="1"/>
  <c r="Q18" i="1"/>
  <c r="P18" i="1"/>
  <c r="Q17" i="1"/>
  <c r="P17" i="1"/>
  <c r="Q16" i="1"/>
  <c r="P16" i="1"/>
  <c r="Q15" i="1"/>
  <c r="P15" i="1"/>
  <c r="Q14" i="1"/>
  <c r="P14" i="1"/>
  <c r="Q13" i="1"/>
  <c r="P13" i="1"/>
  <c r="Q12" i="1"/>
  <c r="P12" i="1"/>
  <c r="Q11" i="1"/>
  <c r="P11" i="1"/>
  <c r="Q10" i="1"/>
  <c r="P10" i="1"/>
  <c r="Q9" i="1"/>
  <c r="P9" i="1"/>
  <c r="Q8" i="1"/>
  <c r="P8" i="1"/>
  <c r="Q7" i="1"/>
  <c r="P7" i="1"/>
  <c r="Q6" i="1"/>
  <c r="P6" i="1"/>
  <c r="Q5" i="1"/>
  <c r="P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tc={F33FD9E6-BFEA-421F-85F7-88D705AB4A5C}</author>
  </authors>
  <commentList>
    <comment ref="J6" authorId="0" shapeId="0" xr:uid="{F33FD9E6-BFEA-421F-85F7-88D705AB4A5C}">
      <text>
        <t>[Threaded comment]
Your version of Excel allows you to read this threaded comment; however, any edits to it will get removed if the file is opened in a newer version of Excel. Learn more: https://go.microsoft.com/fwlink/?linkid=870924
Comment:
    I just noticed that this was added here from the INTRO. We ask three times 1) origin (which could mean both birth or nationality or even just descent) 2) birth 3) nationality. While I agree with birth and nationality, origin seems it can lead to different interpretations. Why do we need it?</t>
      </text>
    </comment>
  </commentList>
</comments>
</file>

<file path=xl/sharedStrings.xml><?xml version="1.0" encoding="utf-8"?>
<sst xmlns="http://schemas.openxmlformats.org/spreadsheetml/2006/main" count="883" uniqueCount="510">
  <si>
    <t>Module no</t>
  </si>
  <si>
    <t>Q_ID</t>
  </si>
  <si>
    <t>Variable</t>
  </si>
  <si>
    <t>PR</t>
  </si>
  <si>
    <t>PAK PR</t>
  </si>
  <si>
    <t>CMR PR</t>
  </si>
  <si>
    <t>ZAM PR</t>
  </si>
  <si>
    <t>Type</t>
  </si>
  <si>
    <t>Question</t>
  </si>
  <si>
    <t>Interviewer</t>
  </si>
  <si>
    <t>Response</t>
  </si>
  <si>
    <t>Condition Master Q.</t>
  </si>
  <si>
    <t>Condition Master Q. using variable instead of Q_ID</t>
  </si>
  <si>
    <t>Condition Optional Q.</t>
  </si>
  <si>
    <t>Validation</t>
  </si>
  <si>
    <t xml:space="preserve">Message </t>
  </si>
  <si>
    <t>CLEANING:
KEEP/REMOVE</t>
  </si>
  <si>
    <t>PRIORITY:
Core/Optional</t>
  </si>
  <si>
    <t>CORE INDICATOR</t>
  </si>
  <si>
    <t>ADDITIONAL INDICATORS</t>
  </si>
  <si>
    <t>Source</t>
  </si>
  <si>
    <t>Comments Coder</t>
  </si>
  <si>
    <t>Comments Internal</t>
  </si>
  <si>
    <t>Adj needed for Host community</t>
  </si>
  <si>
    <t>Adj needed for IDPs</t>
  </si>
  <si>
    <t>Adj nedeed for refugee returnees</t>
  </si>
  <si>
    <t>ROSTER PART 1: IDENTIFICATION OF HOUSEHOLD MEMBERS</t>
  </si>
  <si>
    <t>Introduction</t>
  </si>
  <si>
    <t xml:space="preserve">We are going to start the interview by asking you a series of questions about each member of your household including yourself. </t>
  </si>
  <si>
    <t>Keep</t>
  </si>
  <si>
    <t>core</t>
  </si>
  <si>
    <t>HH_ident</t>
  </si>
  <si>
    <t>HH_01a</t>
  </si>
  <si>
    <t>SS</t>
  </si>
  <si>
    <t>Are you the head of household?</t>
  </si>
  <si>
    <t>1. Yes 
2. No 
98. Don’t know 
99. Refuse to answer</t>
  </si>
  <si>
    <t>Classifatory variable: dummy that identifies HH head</t>
  </si>
  <si>
    <t xml:space="preserve">NEW </t>
  </si>
  <si>
    <t>Origin_Country</t>
  </si>
  <si>
    <t>origincountry</t>
  </si>
  <si>
    <t>Select country of origin of the respondent</t>
  </si>
  <si>
    <t>keep</t>
  </si>
  <si>
    <t>Classifatory variable: country of origin</t>
  </si>
  <si>
    <t>HH_name</t>
  </si>
  <si>
    <t>HH_01b</t>
  </si>
  <si>
    <t>OT</t>
  </si>
  <si>
    <t xml:space="preserve">Could you please give me the name of all individuals who are part of your household, starting by yourself? </t>
  </si>
  <si>
    <t>Follow the instructions given in ‘FILLING THE ROSTER’</t>
  </si>
  <si>
    <t xml:space="preserve">
Create a first loop to list household members and ask about the relationship to the household: HH_name and HH_rel.</t>
  </si>
  <si>
    <t>HH_rel</t>
  </si>
  <si>
    <t>HH_03</t>
  </si>
  <si>
    <t>What is [NAME]'s relationship to [you/the household head’s name]?</t>
  </si>
  <si>
    <t>For the respondent, don’t ask this question, record directly.</t>
  </si>
  <si>
    <t xml:space="preserve">1. The household head himself/herself
2. Wife/Husband/Partner     
3. Biological child 
4. Step child/ Adopted child 
5. Grandchild
6. Niece/Nephew  
7. Mother/Father 
8. Sister/Brother 
9. Son/Daughter-in-law 
10. Brother/Sister-in-law 
11.Grandfather/mother 
12. Father/Mother-in-law 
13. Uncle/Aunt 
14. Cousin 
15. Travel companion/friend 
16. Servant or servant’s relative 
17. Lodger or lodger’s relative 
96. Other: specify </t>
  </si>
  <si>
    <t>EGRISS - IRRS first level indicators (classificatory variable): Relationship to the HH Head; composition of the household</t>
  </si>
  <si>
    <t>Percentage of children age 0-17 years living with neither biological parent (unaccompanied / separated children)</t>
  </si>
  <si>
    <t>LSMS adjusted</t>
  </si>
  <si>
    <t xml:space="preserve">Always put the respondent in first position (on the top of the list). If the respondent is not the head of  household, the repondent is then directly followed by the head of household in the list. </t>
  </si>
  <si>
    <t>HH_sex</t>
  </si>
  <si>
    <t>HH_02</t>
  </si>
  <si>
    <r>
      <t>What is the sex</t>
    </r>
    <r>
      <rPr>
        <sz val="8"/>
        <rFont val="Times New Roman"/>
        <family val="1"/>
      </rPr>
      <t> </t>
    </r>
    <r>
      <rPr>
        <sz val="10"/>
        <rFont val="Times New Roman"/>
        <family val="1"/>
      </rPr>
      <t xml:space="preserve"> of [NAME]?</t>
    </r>
    <r>
      <rPr>
        <sz val="8"/>
        <rFont val="Calibri"/>
        <family val="2"/>
      </rPr>
      <t> </t>
    </r>
  </si>
  <si>
    <t xml:space="preserve">For the respondent, don’t ask this question, record directly. </t>
  </si>
  <si>
    <t xml:space="preserve">1. Male 
2. Female 
</t>
  </si>
  <si>
    <t>EGRISS - IRRS first level indicators (classificatory variable): sex; Demographics</t>
  </si>
  <si>
    <t>LSMS</t>
  </si>
  <si>
    <t>Start a second loop with questions HH_sex to HH_c_presence</t>
  </si>
  <si>
    <t>HH_age</t>
  </si>
  <si>
    <t>HH_04</t>
  </si>
  <si>
    <t>OI</t>
  </si>
  <si>
    <t>How old [are you/is NAME]? Please give the age in completed years.</t>
  </si>
  <si>
    <t>Age:   
998. Don’t know</t>
  </si>
  <si>
    <t>EGRISS - IRRS first level indicators (classificatory variable): Age; Dependency ratio;  Demographics</t>
  </si>
  <si>
    <t>HH_birth</t>
  </si>
  <si>
    <t>HH_05</t>
  </si>
  <si>
    <t xml:space="preserve">In what year and month [were you/was NAME] born? </t>
  </si>
  <si>
    <t>If month and/or year is not known, record 98. It is fine to have only the year and ‘98’ for the month if the respondent doesn’t have precise information or doesn’t remember.</t>
  </si>
  <si>
    <t>Year: 
Month:  
98. Don’t know</t>
  </si>
  <si>
    <t>Ask if HH_04 &lt;6 OR HH_04=998</t>
  </si>
  <si>
    <t>HH_host</t>
  </si>
  <si>
    <t>HH_00</t>
  </si>
  <si>
    <t>Since [your/his/her] birth, [have you/has NAME] always lived in [host country]? Please do not think about short or temporary absence or travels </t>
  </si>
  <si>
    <t>EGRISS - IRRS first level indicators: Years of residence in host country</t>
  </si>
  <si>
    <t>HH_date</t>
  </si>
  <si>
    <t>HH_00a</t>
  </si>
  <si>
    <t>Could you tell me when [you/ NAME] arrived in [host country]? If [you/ NAME] came to live in [host country] more than once, tell me about the last time[you/ NAME] arrived. Tell me the year and the month.</t>
  </si>
  <si>
    <t xml:space="preserve">Year: 
998. Don’t know  
Month:
98. Don’t know  </t>
  </si>
  <si>
    <t>Ask if HH_00=2</t>
  </si>
  <si>
    <t>HH_time</t>
  </si>
  <si>
    <t>HH_00b</t>
  </si>
  <si>
    <t>Could you tell me for approximately how long [you have/NAME has]  been living in [host country]?  Tell me in terms of years and months.</t>
  </si>
  <si>
    <t xml:space="preserve">If less than 1 year, write ‘0’ for the number of years and indicate the number of months. If less than 1 month, write ‘0’ for the number of months. </t>
  </si>
  <si>
    <t xml:space="preserve">Years: 
998. Don’t know  
Months:
98. Don’t know  </t>
  </si>
  <si>
    <t xml:space="preserve">Ask if iHH_00a=98 for the month OR 998 for the year
</t>
  </si>
  <si>
    <t>NEW</t>
  </si>
  <si>
    <t>If HH_00b is not asked because the response in HH_00a is not equal 98, add a calculation to compute the period of stay in host country based on the response in HH_00a. Then use the 'updated' HH_00b in conditions in HH_11b and HH_12.</t>
  </si>
  <si>
    <t xml:space="preserve">Replace the existing question by the following: First, could you tell me for approximately how long you have been back in [host country]?   Tell me in terms of years and months.
</t>
  </si>
  <si>
    <t>HH_absence</t>
  </si>
  <si>
    <t>HH_11a</t>
  </si>
  <si>
    <t>For how many months [during the past 12 months/ since  [you/NAME] arrived in [host country] [have you/has NAME] been away from this household?</t>
  </si>
  <si>
    <t xml:space="preserve">If the respondent is answering in terms of number of days, then sum the days in months.  Record total months  If less than 1 month, write ‘0’. </t>
  </si>
  <si>
    <t xml:space="preserve">Nb of months: </t>
  </si>
  <si>
    <t>HH member</t>
  </si>
  <si>
    <t>WB, Pakistan  URBAN SURVEY – PESHAWAR &amp; QUETTA adjusted</t>
  </si>
  <si>
    <t>The time reference [during the past 12 months/ since you arrived in (host country)] should depend on response in HH_time. If &lt; than 1 year: "since you arrived in (host country)". If &gt; than 1 year: "during the past 12 months"</t>
  </si>
  <si>
    <t>HH_forward</t>
  </si>
  <si>
    <t>HH_11b</t>
  </si>
  <si>
    <t xml:space="preserve">[Do you/Does NAME] plan to stay in the household for at least 3 months from now? </t>
  </si>
  <si>
    <t>Ask only if HH_00b is &lt;3months</t>
  </si>
  <si>
    <t>HH_member</t>
  </si>
  <si>
    <t>HH_12</t>
  </si>
  <si>
    <t>1. a member 
2. not a member</t>
  </si>
  <si>
    <t xml:space="preserve">If answer to HH_time is &gt;=1 year AND HH_absence is &lt;= 9 months, select 1: a member.  If answer to HH_time is &gt;=1 year AND HH_absence is &gt; 9 months, select 2: not a member.   BUT If code 1 in question HH_rel, always select 1: a member.   AND If code is equal 16 or 17 in question HH_rel, then always  select 2: not a member.  AND if HH_age is &lt;=5, always select 1: a member. If answer to HH_time is &lt;1year but &gt;3months AND (HH_time - HH_absence)&gt;= 3months, select 1: a member. If answer to HH_time is &lt;1year but &gt;3months AND (HH_time - HH_absence)&lt; 3months, select 2: not a member. If HH_time is &lt;=3months and HH_forward is 1 Yes, then select 1: a member. . If HH_time is &lt;=3months and HH_forward is 2 No, then select 2: not a member. </t>
  </si>
  <si>
    <t xml:space="preserve">If answer to HH_00b is &gt;=1 year AND HH_11a is &lt;= 9 months, select 1: a member.  If answer to HH_00b is &gt;=1 year AND HH_11a is &gt; 9 months, select 2: not a member.   BUT If code 1 in question HH_03, always select 1: a member.   AND If code is equal 16 or 17 in question HH_03, then always  select 2: not a member.  AND if 'age' is &lt;=5, always select 1: a member. If answer to HH_00b is &lt;1year but &gt;3months AND (HH_00b - HH_11a)&gt;= 3months, select 1: a member. If answer to HH_00b is &lt;1year but &gt;3months AND (HH_00b - HH_11a)&lt; 3months, select 2: not a member. If HH_00b is &lt;=3months and HH_11b is 1 Yes, then select 1: a member. . If HH_00b is &lt;=3months and HH_11b is 2 No, then select 2: not a member. </t>
  </si>
  <si>
    <t>HH_c_presence</t>
  </si>
  <si>
    <t>HH_13</t>
  </si>
  <si>
    <t xml:space="preserve"> Did [you/NAME] sleep here last night? </t>
  </si>
  <si>
    <t xml:space="preserve">Ask this question only for individuals identified as household members. </t>
  </si>
  <si>
    <t>1. Yes 
2. No 
99. Refuse to answer</t>
  </si>
  <si>
    <t>Ask only if HH_12=1</t>
  </si>
  <si>
    <t>SDG 3.8.1, tracer 7: Percentage of population in malaria-endemic areas who slept under an insecticide-treated net (ITN) the previous night [only for countries with high malaria burden].</t>
  </si>
  <si>
    <t>ROSTER PART 2: ONLY FOR INDIVIDUALS IDENTIFIED AS HOUSEHOLD MEMBERS</t>
  </si>
  <si>
    <t>INSERT HERE 'IDENTIFICATION QUESTIONS' - CONDITION FOR THE WHOLE SET OF 'IDENTIFICATION QUESTIONS': ASK ONLY MEMBERS WHO ARE 15 OR OLDER</t>
  </si>
  <si>
    <t>CITIZENSHIP - MARITAL STATUS - FILIATION - ASK ALL MEMBERS (EXCEPT IF A CONDITION IS STATED)</t>
  </si>
  <si>
    <t>HH_bwhere</t>
  </si>
  <si>
    <t>HH_06</t>
  </si>
  <si>
    <t xml:space="preserve">In which country [were you/was NAME] born ? </t>
  </si>
  <si>
    <t>1. [host country]
2. other country: specify 
3. stateless 
98. Don’t know 
99. Refuse to answer </t>
  </si>
  <si>
    <t>KEEP</t>
  </si>
  <si>
    <t xml:space="preserve">EGRISS clasificatory variable: country of birth, 
EGRISS, IRRS second level indicators: Mixed Marriages, 
EGRISS, IRRS priority indicator: country of birth of mother and father
</t>
  </si>
  <si>
    <t>Create another loop with questions from HH_bwhere to Give_birth_loc</t>
  </si>
  <si>
    <t xml:space="preserve">List of countries should ideally be adapted to each context. </t>
  </si>
  <si>
    <t>Legal_birth_reg</t>
  </si>
  <si>
    <t>HH_07b</t>
  </si>
  <si>
    <t xml:space="preserve">Has [NAME]’s birth been registered with the [civil authorities]?  </t>
  </si>
  <si>
    <t xml:space="preserve">Ask if age&lt;5 </t>
  </si>
  <si>
    <t xml:space="preserve">EGRISS, IRRS second level indicators: Registration of birth (SDG 16.9.1),
SDG 16.9.1,
RBM O 1.2
</t>
  </si>
  <si>
    <t>RMS</t>
  </si>
  <si>
    <t>Legal_birth_cert</t>
  </si>
  <si>
    <t>HH_07a</t>
  </si>
  <si>
    <t xml:space="preserve">Does [NAME] have a birth certificate? </t>
  </si>
  <si>
    <t xml:space="preserve">EGRISS, IRRS second level indicators: Registration of birth (SDG 16.9.1),
SDG 16.9.1, 
RBM O 1.2
</t>
  </si>
  <si>
    <t>HH_civil</t>
  </si>
  <si>
    <t>HH_08</t>
  </si>
  <si>
    <t>Which descibes [your/NAME’s] current status? [Are you/Is name] married, in a non-formal union, separated, divorced, widow/er or never married?</t>
  </si>
  <si>
    <t>1. Married 
2. Non-formal union 
3. Separated 
4. Divorced 
5. Widow or Widower 
6. Never married</t>
  </si>
  <si>
    <t xml:space="preserve">Ask if age&gt;=10 </t>
  </si>
  <si>
    <t xml:space="preserve">EGRISS classificatory variable: Marital status,  
EGRISS, IRRS second level indicators: Mixed Marriages,
EGRISS, IRRS third level indicators: Age at first marriage,
SDG 5.3.1 
</t>
  </si>
  <si>
    <t>HH_08a</t>
  </si>
  <si>
    <t>[Do you/Does name] have more than one wife?</t>
  </si>
  <si>
    <t>Ask if HH_02=1 and (HH_08=1 OR HH_08==2)</t>
  </si>
  <si>
    <t>optional</t>
  </si>
  <si>
    <t>Identification of polygamy</t>
  </si>
  <si>
    <t>HH_08b</t>
  </si>
  <si>
    <t>[Does your husband/Does name’s husband] have more than one wife?</t>
  </si>
  <si>
    <t>Ask if HH_02=2 and (HH_08=1 OR HH_08==2)</t>
  </si>
  <si>
    <t>HH_age_mar</t>
  </si>
  <si>
    <t>HH_09</t>
  </si>
  <si>
    <t xml:space="preserve">How old [were you/was NAME] when first [married/formed a non-formal union] ? </t>
  </si>
  <si>
    <t>Age:   
98. Don’t know</t>
  </si>
  <si>
    <t>Ask if age&gt;=10 AND HH_08!=6</t>
  </si>
  <si>
    <t xml:space="preserve">EGRISS, IRRS third level indicators: Age at first marriage,
SDG 5.3.1 </t>
  </si>
  <si>
    <t>Spouse_ID</t>
  </si>
  <si>
    <t>HH_10</t>
  </si>
  <si>
    <t>k</t>
  </si>
  <si>
    <t xml:space="preserve">Could you tell me who is [your/NAME’s]  spouse/partner?   
If [you have/NAME has] several spouses/partners, please mention all of them. </t>
  </si>
  <si>
    <t>Use dropdown list of names based on roster.
IF THE SPOUSE IS NOT LISTED IN THE HOUSEHOLD, WRITE ‘00’.   
Select all that apply</t>
  </si>
  <si>
    <t>Spouse ID code(s):</t>
  </si>
  <si>
    <t>Ask if HH_08 = 1, 2  AND HH_03 != 1</t>
  </si>
  <si>
    <t>EGRISS, IRRS second level indicators: Mixed Marriages,</t>
  </si>
  <si>
    <t>HH_cit_other</t>
  </si>
  <si>
    <t>HH_15</t>
  </si>
  <si>
    <t xml:space="preserve">You said that [your/Name's] nationality is [response to ID_00], [have you/has Name] in the past held any other nationality(ies)? </t>
  </si>
  <si>
    <t>Ask if age &gt;=15</t>
  </si>
  <si>
    <t>REMOVE</t>
  </si>
  <si>
    <t>JDC</t>
  </si>
  <si>
    <t>HH_cit_host</t>
  </si>
  <si>
    <t>HH_16</t>
  </si>
  <si>
    <r>
      <t>How did [you/NAME] acquire [host country</t>
    </r>
    <r>
      <rPr>
        <sz val="8"/>
        <rFont val="Times New Roman"/>
        <family val="1"/>
      </rPr>
      <t> </t>
    </r>
    <r>
      <rPr>
        <sz val="10"/>
        <rFont val="Times New Roman"/>
        <family val="1"/>
      </rPr>
      <t>] nationality?</t>
    </r>
  </si>
  <si>
    <t>1. nationality by birth (despite birth abroad) 
2. naturalization by marriage 
3. naturalization by other means: specify 
96. Other: specify 
98. Don’t know 
99. Refuse to answer</t>
  </si>
  <si>
    <t xml:space="preserve">HH_06 != 1 AND ID_00 = 1. </t>
  </si>
  <si>
    <t xml:space="preserve">REMOVE </t>
  </si>
  <si>
    <t>Response categories should be refined in the field</t>
  </si>
  <si>
    <t>Spouse_nat</t>
  </si>
  <si>
    <t>HH_17</t>
  </si>
  <si>
    <t>MS</t>
  </si>
  <si>
    <t xml:space="preserve">What is the nationality of [your/NAME’s]  spouse(s)/partner(s)? </t>
  </si>
  <si>
    <t xml:space="preserve">SELECT ALL THAT APPLY </t>
  </si>
  <si>
    <t>List of countries/nationalities to be adapted to each context.</t>
  </si>
  <si>
    <t>Ask if HH_08=1,2 AND HH_10=0</t>
  </si>
  <si>
    <t xml:space="preserve">Condition 1.
If "DK" OR "RF" are selected, then no other response should be selected at the same time </t>
  </si>
  <si>
    <t>Condition 1.
THE COMBINATION OF ANSWERS YOU HAVE CHOSEN IS NOT POSSIBLE. PLEASE CHECK</t>
  </si>
  <si>
    <t>EGRISS, IRRS second level indicators: Mixed Marriages</t>
  </si>
  <si>
    <t>Mother_pres</t>
  </si>
  <si>
    <t>HH_18</t>
  </si>
  <si>
    <t xml:space="preserve">Does [your/NAME's] biological mother  live in the household?   </t>
  </si>
  <si>
    <t>1. Yes 
2. No 
3 Volunteered response: she is deceased 
99. Refuse to answer</t>
  </si>
  <si>
    <t>Do not ask children of the HoH if HoH is female (HH_02=2).</t>
  </si>
  <si>
    <t xml:space="preserve">EGRISS, IRRS priority indicator: country of birth of mother and father
</t>
  </si>
  <si>
    <t>LSMS adjusted  JDC adjusted</t>
  </si>
  <si>
    <t>Test biological, natural and Birth mother.</t>
  </si>
  <si>
    <t>Mother_ID</t>
  </si>
  <si>
    <t>HH_19</t>
  </si>
  <si>
    <t xml:space="preserve">Who is [your/NAME' s] biological mother? </t>
  </si>
  <si>
    <t>Use dropdown list of names based on roster.</t>
  </si>
  <si>
    <t>ID code:</t>
  </si>
  <si>
    <t>Ask if HH_18=1</t>
  </si>
  <si>
    <t xml:space="preserve">KEEP </t>
  </si>
  <si>
    <t>EGRISS, IRRS priority indicator: country of birth of mother and father</t>
  </si>
  <si>
    <t>Mother_birth</t>
  </si>
  <si>
    <t>HH_20</t>
  </si>
  <si>
    <t xml:space="preserve">In which country was [your/NAME' s]  biological mother born? </t>
  </si>
  <si>
    <t>List of countries/nationalities to be adapted to each context.
98. Don't Know
99. Refuse to Answer</t>
  </si>
  <si>
    <t>HIDE</t>
  </si>
  <si>
    <t>Ask if IsAnswered(HH_18) &amp; HH_18!=1</t>
  </si>
  <si>
    <t>Mother_status</t>
  </si>
  <si>
    <t>HH_21</t>
  </si>
  <si>
    <t xml:space="preserve">[Is/was] [your/NAME' s]  biological mother a refugee or asylum seeker? </t>
  </si>
  <si>
    <t>Ask if  HH_18!=1</t>
  </si>
  <si>
    <t>Not an indicator, but useful disaggregation or for identifying refugee children with inherited status</t>
  </si>
  <si>
    <t>JDC adjusted</t>
  </si>
  <si>
    <t>Father_pres</t>
  </si>
  <si>
    <t>HH_22</t>
  </si>
  <si>
    <t xml:space="preserve">Does [your/NAME's] biological father live in the household?   </t>
  </si>
  <si>
    <t>1. Yes 
2. No 
3 Volunteered response: he is deceased 
99. Refuse to answer</t>
  </si>
  <si>
    <t>Do not ask children of the HoH if HoH is male (HH_02=1).</t>
  </si>
  <si>
    <t>Father_ID</t>
  </si>
  <si>
    <t>HH_23</t>
  </si>
  <si>
    <t xml:space="preserve">Who is [your/NAME' s] biological father? </t>
  </si>
  <si>
    <t>Ask if HH_22=1</t>
  </si>
  <si>
    <t>Father_birth</t>
  </si>
  <si>
    <t>HH_24</t>
  </si>
  <si>
    <t xml:space="preserve">In which country was [your/NAME' s]  biological father born? </t>
  </si>
  <si>
    <t>Ask if IsAnswered(HH_22) &amp; HH_22!=1</t>
  </si>
  <si>
    <t>Father_status</t>
  </si>
  <si>
    <t>HH_25</t>
  </si>
  <si>
    <t xml:space="preserve">[Is/was] [your/NAME' s]  biological father a refugee or asylum seeker? </t>
  </si>
  <si>
    <t></t>
  </si>
  <si>
    <t>Ask if HH_22!=1</t>
  </si>
  <si>
    <t>Caretaker</t>
  </si>
  <si>
    <t>HH_26</t>
  </si>
  <si>
    <t xml:space="preserve">Who is [NAME]'s primary caretaker?   
The caretaker is the person who takes care of child's daily needs such as bathing, feeding, helping. This person is a member of the household, not a nanny or a babysitter. </t>
  </si>
  <si>
    <t>Ask only if Age &lt; 5.</t>
  </si>
  <si>
    <t>Random caregiver selection</t>
  </si>
  <si>
    <t xml:space="preserve">LSMS Adjusted  I separated the definition of caretaker from the question. </t>
  </si>
  <si>
    <t>Now, I would like to ask you a few questions  about  [child name]'s immunization.</t>
  </si>
  <si>
    <t>Ask if age&lt;5</t>
  </si>
  <si>
    <t>Core</t>
  </si>
  <si>
    <t>HH_MV2</t>
  </si>
  <si>
    <t>Has [NAME]  ever received a measles containing vaccine -  MMR/MR vaccine – that is, two shot in the arm usually by the age of 9 months - to prevent [him/her] from getting measles, mumps and rubella?</t>
  </si>
  <si>
    <t>CHECK VACCINATION CARD IF SHOWN</t>
  </si>
  <si>
    <t>1 Yes, with card
2 Yes, without card
3 No 
98 Don’t Know</t>
  </si>
  <si>
    <t>(.&gt;=0 and .&lt;=2) or .=98</t>
  </si>
  <si>
    <t>NUMBER SEEMS TOO LOW/HIGH. PLEASE CHECK</t>
  </si>
  <si>
    <t xml:space="preserve">RBM O 10.1: Proportion of children aged 9 months to five years who have received measles vaccination   </t>
  </si>
  <si>
    <t>Proportion of children under 5 receiving share vaccinated in host country, by age</t>
  </si>
  <si>
    <t>HH_MV3</t>
  </si>
  <si>
    <t>How many times did [NAME] receive the measles or MMR/MR vaccine?</t>
  </si>
  <si>
    <r>
      <t xml:space="preserve">CHECK VACCINATION CARD IF SHOWN
</t>
    </r>
    <r>
      <rPr>
        <sz val="11"/>
        <color rgb="FFFF0000"/>
        <rFont val="Calibri"/>
        <family val="2"/>
        <scheme val="minor"/>
      </rPr>
      <t xml:space="preserve">
</t>
    </r>
    <r>
      <rPr>
        <sz val="12"/>
        <color theme="1"/>
        <rFont val="Calibri"/>
        <family val="2"/>
        <scheme val="minor"/>
      </rPr>
      <t>If don’t know enter 98</t>
    </r>
  </si>
  <si>
    <t xml:space="preserve">Nb. of times: </t>
  </si>
  <si>
    <t xml:space="preserve">Ask if HH_MV2 = 1 or HH_MV2 = 2 </t>
  </si>
  <si>
    <t>HH_MV4</t>
  </si>
  <si>
    <t>Did [child name] receive LAST measles vaccine in ${hostcountry}, some other country?</t>
  </si>
  <si>
    <t>Host country 1
Other country 2</t>
  </si>
  <si>
    <t xml:space="preserve">ASK IF HH_MV2 = 1 or HH_MV2 = 2 </t>
  </si>
  <si>
    <t xml:space="preserve">OPTIONAL </t>
  </si>
  <si>
    <t>Distribution of reasons for not receiving MMR</t>
  </si>
  <si>
    <t>HH_MV6</t>
  </si>
  <si>
    <t>What is the main reason why [child name] didn't receive a measles or MMR injection?</t>
  </si>
  <si>
    <t>Service is not available 1
Service provider refused to provide me with service  2
Too far/ 
Transportation issue  3
PERSONAL
No time as I had to work/ care for children  4
Language barrier  5
COST
Couldn't afford service fees  6
INFORMATION
No information about immunization schedules  7
Didn’t know where to go  8 
TRUST AND TREATMENT
Do not trust vaccine  9
Staff were rude  10
Other, specify  96</t>
  </si>
  <si>
    <t>ASK IF HH_MV2 = 3</t>
  </si>
  <si>
    <t>OPTIONAL</t>
  </si>
  <si>
    <t>HH_MV7</t>
  </si>
  <si>
    <t>Has [NAME]  received Pentavalent vaccine (DPT + Hep B + Hib) that is, a shot in the arm by the age of 14 weeks - to prevent from getting Diphtheriae, Pertussis, Tetanus, Hepatitis B and Haemophilus Influenza type B - HIB) ?</t>
  </si>
  <si>
    <t>CORE</t>
  </si>
  <si>
    <t xml:space="preserve">SDG 3.8.1: Coverage of essential health services (defined as the average coverage of essential services based on tracer interventions that include reproductive, maternal, newborn and child health, infectious diseases, non-communicable diseases as well as service capacity and access among the general and most disadvantaged populations). Tracer 3 or Child immunization: Percentage of infants receiving three doses of diphtheria-tetanus-pertussis containing vaccine. </t>
  </si>
  <si>
    <t>HH_MV8</t>
  </si>
  <si>
    <t>How many times did [NAME] receive the Pentavalent vaccine?</t>
  </si>
  <si>
    <t>CHECK VACCINATION CARD IF SHOWN
If don't know please enter 98</t>
  </si>
  <si>
    <t>Ask if HH_MV7 =1 or HH_MV7=2</t>
  </si>
  <si>
    <t>(.&gt;=0 and .&lt;=4) or .=98</t>
  </si>
  <si>
    <t>The number seems too high/low. Please check</t>
  </si>
  <si>
    <t>HH_MV9</t>
  </si>
  <si>
    <t xml:space="preserve">Has [child name] received a vitamin A capsule in the past six months? </t>
  </si>
  <si>
    <t xml:space="preserve">CHECK VACCINATION/HEALTH CARD AND SHOW CAPSULE.
</t>
  </si>
  <si>
    <t>1 Yes, card
2 Yes, no card
3 No
98 Don’t know</t>
  </si>
  <si>
    <t>Proportion of children &lt; 5 who received a dose of vitamin A in the past six months</t>
  </si>
  <si>
    <t>HH_MV10</t>
  </si>
  <si>
    <t>Was [child name] given any drug for intestinal worms in the past  six months?</t>
  </si>
  <si>
    <t>1 Yes
2 No
3 vol. resp. The child did not need any drug for intestinal worms
98 Don’t know</t>
  </si>
  <si>
    <t>Proportion of children &lt; 5 who received deworming tablets</t>
  </si>
  <si>
    <t>HH_MV11</t>
  </si>
  <si>
    <t>Has [child name] had diarrhea in the past 2 weeks?
Read if needed: THREE OR MORE LOOSE OR LIQUID STOOLS DURING 24 HOURS.</t>
  </si>
  <si>
    <t>1 Yes
2 No
98 Don’t know
99 Refuse</t>
  </si>
  <si>
    <t>Proportion of children&lt; 5 receiving treatment for diarrhea, by treatment</t>
  </si>
  <si>
    <t>HH_MV12</t>
  </si>
  <si>
    <t>What was given to [child name] to treat the diarrhoea?</t>
  </si>
  <si>
    <t>Mark all that apply</t>
  </si>
  <si>
    <t>A Nothing
B ORS
C Zinc tablet or syrup
D Home-made fluid
E Injection
F Intravenous 
OT Other, specify
Don’t know DK</t>
  </si>
  <si>
    <t>GiveBirth</t>
  </si>
  <si>
    <t>HH_27</t>
  </si>
  <si>
    <t>Did [you/NAME] give birth to a child who was born alive in the past 2 years?</t>
  </si>
  <si>
    <t xml:space="preserve">Ask if HH_02 = 2 AND 15&lt;age&lt;49. </t>
  </si>
  <si>
    <t>Random woman selection</t>
  </si>
  <si>
    <t>GiveBirth_nb</t>
  </si>
  <si>
    <t>HH_28</t>
  </si>
  <si>
    <t>To how many children born alive did [you/NAME] give birth in the past 2 years?</t>
  </si>
  <si>
    <t>Nb of children:
99. Refuse to answer</t>
  </si>
  <si>
    <t>Ask if  HH_27=1</t>
  </si>
  <si>
    <t>GiveBirth_loc</t>
  </si>
  <si>
    <t>HH_29</t>
  </si>
  <si>
    <t xml:space="preserve">[Does this child/Do any of these children] live in another household?  </t>
  </si>
  <si>
    <t>1. Yes 
2. No 
3. Volunteered response: No, (s)he is deceased 
99. Refuse to answer</t>
  </si>
  <si>
    <t>The phrasing should be [Does this child…] if HH_28=1 and 
[Do any of these children...] if HH_28&gt;1</t>
  </si>
  <si>
    <t>EDUCATION - ASK ALL MEMBERS (EXCEPT IF A CONDITION IS STATED)</t>
  </si>
  <si>
    <t>Introductory comment</t>
  </si>
  <si>
    <t xml:space="preserve">We are now going to ask you a series of questions about your education and the education of the members of your household. </t>
  </si>
  <si>
    <t>Create another loop and ask questions from Educ_ps to Educ_lit</t>
  </si>
  <si>
    <t>Educ_ps</t>
  </si>
  <si>
    <t>HH_Educ00</t>
  </si>
  <si>
    <t>Is [child’s name] currently going to pre-school?</t>
  </si>
  <si>
    <t xml:space="preserve">1. Yes   
2. No   
98. Don’t know   
99. Refuse to answer   </t>
  </si>
  <si>
    <t>Ask only if 2&lt;=age&lt;=6</t>
  </si>
  <si>
    <t>SDG 4.2.2, SDG 4.5.1, EGRISS Priority Indicator SDG 4.2.2</t>
  </si>
  <si>
    <t xml:space="preserve">UNHCR adjusted </t>
  </si>
  <si>
    <t>Educ_ps_type</t>
  </si>
  <si>
    <t>HH_Educ01</t>
  </si>
  <si>
    <r>
      <t>What type of pre-school is [child’s name] going to?</t>
    </r>
    <r>
      <rPr>
        <sz val="8"/>
        <rFont val="Times New Roman"/>
        <family val="1"/>
      </rPr>
      <t> </t>
    </r>
    <r>
      <rPr>
        <sz val="10"/>
        <rFont val="Times New Roman"/>
        <family val="1"/>
      </rPr>
      <t>Governement school, UN or NGO, community school, religious or faith-based private school, non-religious private school or any other type of school?</t>
    </r>
  </si>
  <si>
    <t>1. Government or Public   
2. UN or NGO   
3. Community   
4. Private religious/faith based  school 
5. Private non-religious school
96. Other: specify   
98. Don’t know </t>
  </si>
  <si>
    <t>Ask only if age&lt;=6 AND HH_Educ00=1</t>
  </si>
  <si>
    <t>UNHCR</t>
  </si>
  <si>
    <t>Done</t>
  </si>
  <si>
    <t>Educ_now</t>
  </si>
  <si>
    <t>HH_Educ02a</t>
  </si>
  <si>
    <t xml:space="preserve">[Are you/Is name] currently going to school? If it is school holiday between two school years, tell us about the last school year. 
Do not include kindergarten or preschool.    </t>
  </si>
  <si>
    <t>Ask if  4 &lt; age &lt; 45 AND HH_Educ00!=1</t>
  </si>
  <si>
    <t>RBM I 3.2.a, RBM I 3.2.b, SDG 4.1.2, SDG 4.5.1, SDG 8.6.1, SDG 4.3.1, GCR 2.2.1, RBM O 11.2, RBM O 11.1</t>
  </si>
  <si>
    <t>Proportion of population never in school
Barriers to schools attendance 
Proportion of population who started going to school later than expected (one year later)
Proportion of population experiencing interuption in schooling, by reason
Proportion of children/young adults who stopped attending secondary education, by top reasons
Highest level of education (Adult Educational attainment)</t>
  </si>
  <si>
    <t>STEP survey, WB</t>
  </si>
  <si>
    <t>Educ_attend_1</t>
  </si>
  <si>
    <t>HH_Educ02b</t>
  </si>
  <si>
    <r>
      <t>Did</t>
    </r>
    <r>
      <rPr>
        <sz val="11"/>
        <rFont val="Times New Roman"/>
        <family val="1"/>
      </rPr>
      <t xml:space="preserve"> [</t>
    </r>
    <r>
      <rPr>
        <sz val="10"/>
        <rFont val="Times New Roman"/>
        <family val="1"/>
      </rPr>
      <t>you/name</t>
    </r>
    <r>
      <rPr>
        <sz val="11"/>
        <rFont val="Times New Roman"/>
        <family val="1"/>
      </rPr>
      <t>] go</t>
    </r>
    <r>
      <rPr>
        <sz val="10"/>
        <rFont val="Times New Roman"/>
        <family val="1"/>
      </rPr>
      <t xml:space="preserve"> to school most of the school year, half of the year or less than half of the year? </t>
    </r>
    <r>
      <rPr>
        <sz val="8"/>
        <rFont val="Times New Roman"/>
        <family val="1"/>
      </rPr>
      <t> </t>
    </r>
  </si>
  <si>
    <t>1. Most of the year   
2. Half of the year   
3. Less than half of the year   
98. Don’t know   
99. Refuse to answer</t>
  </si>
  <si>
    <t>Ask if EDUC_HH02a=1</t>
  </si>
  <si>
    <t>Educ_attend_2</t>
  </si>
  <si>
    <t>HH_Educ02c</t>
  </si>
  <si>
    <t>What about last week? Most of the week, half of the week or less than half of the week?</t>
  </si>
  <si>
    <t>1. Most of the week   
2. Half of the week   
3. Less than half of the week   
4. volunteered response: there was no school last week   
98. Don’t know   
99. Refuse to answer</t>
  </si>
  <si>
    <t>Educ_now_g</t>
  </si>
  <si>
    <t>HH_Educ03</t>
  </si>
  <si>
    <r>
      <t xml:space="preserve">What </t>
    </r>
    <r>
      <rPr>
        <sz val="11"/>
        <rFont val="Times New Roman"/>
        <family val="1"/>
      </rPr>
      <t>[</t>
    </r>
    <r>
      <rPr>
        <sz val="10"/>
        <rFont val="Times New Roman"/>
        <family val="1"/>
      </rPr>
      <t>grade / year</t>
    </r>
    <r>
      <rPr>
        <sz val="11"/>
        <rFont val="Times New Roman"/>
        <family val="1"/>
      </rPr>
      <t>]</t>
    </r>
    <r>
      <rPr>
        <sz val="10"/>
        <rFont val="Times New Roman"/>
        <family val="1"/>
      </rPr>
      <t xml:space="preserve"> </t>
    </r>
    <r>
      <rPr>
        <sz val="11"/>
        <rFont val="Times New Roman"/>
        <family val="1"/>
      </rPr>
      <t xml:space="preserve">[are </t>
    </r>
    <r>
      <rPr>
        <sz val="10"/>
        <rFont val="Times New Roman"/>
        <family val="1"/>
      </rPr>
      <t>you/is name]</t>
    </r>
    <r>
      <rPr>
        <sz val="11"/>
        <rFont val="Times New Roman"/>
        <family val="1"/>
      </rPr>
      <t xml:space="preserve"> </t>
    </r>
    <r>
      <rPr>
        <sz val="10"/>
        <rFont val="Times New Roman"/>
        <family val="1"/>
      </rPr>
      <t>attending?</t>
    </r>
  </si>
  <si>
    <t xml:space="preserve">List of all possible grades – The list must be adapted to the educational system of (host country).      </t>
  </si>
  <si>
    <t>RBM I 3.2.a, RBM I 3.2.b,  SDG 4.1.2, SDG 4.5.1, SDG 8.6.1, GCR 2.2.1, RBM O 11.2, RBM O 11.1</t>
  </si>
  <si>
    <t>Adapt the response options to (host country) education system.</t>
  </si>
  <si>
    <t>Educ_stype1</t>
  </si>
  <si>
    <t>HH_Educ04a</t>
  </si>
  <si>
    <r>
      <t xml:space="preserve">What </t>
    </r>
    <r>
      <rPr>
        <b/>
        <u/>
        <sz val="10"/>
        <rFont val="Times New Roman"/>
        <family val="1"/>
      </rPr>
      <t>type</t>
    </r>
    <r>
      <rPr>
        <sz val="10"/>
        <rFont val="Times New Roman"/>
        <family val="1"/>
      </rPr>
      <t xml:space="preserve"> of school [are you/is name] going to? Governement school, UN or NGO, community school, religious or faith-based private school, non-religious private school or any other type of school?</t>
    </r>
  </si>
  <si>
    <t xml:space="preserve">If the respondent mentions more than 1 school, ask which one provides the main education/which school is the main school. </t>
  </si>
  <si>
    <t>GCR 2.2.1, RBM O 11.2</t>
  </si>
  <si>
    <t>Educ_stype1_aut</t>
  </si>
  <si>
    <t>HH_Educ04b</t>
  </si>
  <si>
    <r>
      <t xml:space="preserve">Is the school that </t>
    </r>
    <r>
      <rPr>
        <sz val="11"/>
        <rFont val="Times New Roman"/>
        <family val="1"/>
      </rPr>
      <t>[</t>
    </r>
    <r>
      <rPr>
        <sz val="10"/>
        <rFont val="Times New Roman"/>
        <family val="1"/>
      </rPr>
      <t>you are/name is]</t>
    </r>
    <r>
      <rPr>
        <sz val="11"/>
        <rFont val="Times New Roman"/>
        <family val="1"/>
      </rPr>
      <t xml:space="preserve"> going to</t>
    </r>
    <r>
      <rPr>
        <sz val="10"/>
        <rFont val="Times New Roman"/>
        <family val="1"/>
      </rPr>
      <t xml:space="preserve"> accepted by </t>
    </r>
    <r>
      <rPr>
        <sz val="11"/>
        <rFont val="Times New Roman"/>
        <family val="1"/>
      </rPr>
      <t>[</t>
    </r>
    <r>
      <rPr>
        <sz val="10"/>
        <rFont val="Times New Roman"/>
        <family val="1"/>
      </rPr>
      <t>host country</t>
    </r>
    <r>
      <rPr>
        <sz val="11"/>
        <rFont val="Times New Roman"/>
        <family val="1"/>
      </rPr>
      <t xml:space="preserve">] </t>
    </r>
    <r>
      <rPr>
        <sz val="10"/>
        <rFont val="Times New Roman"/>
        <family val="1"/>
      </rPr>
      <t>national authorities?</t>
    </r>
  </si>
  <si>
    <t>Ask if HH_EDUC04a != 1</t>
  </si>
  <si>
    <t>Educ_dec</t>
  </si>
  <si>
    <t>HH_Educ05</t>
  </si>
  <si>
    <r>
      <t xml:space="preserve">Please tell me who decides whether </t>
    </r>
    <r>
      <rPr>
        <sz val="11"/>
        <rFont val="Times New Roman"/>
        <family val="1"/>
      </rPr>
      <t>[</t>
    </r>
    <r>
      <rPr>
        <sz val="10"/>
        <rFont val="Times New Roman"/>
        <family val="1"/>
      </rPr>
      <t>you go/name goes</t>
    </r>
    <r>
      <rPr>
        <sz val="11"/>
        <rFont val="Times New Roman"/>
        <family val="1"/>
      </rPr>
      <t xml:space="preserve">] </t>
    </r>
    <r>
      <rPr>
        <sz val="10"/>
        <rFont val="Times New Roman"/>
        <family val="1"/>
      </rPr>
      <t>to school?</t>
    </r>
  </si>
  <si>
    <t xml:space="preserve">Indicate the ID code of the household member(s) who decides/decide. Select all that apply. 
If the decision is taken by a non-member, indicate’00’. </t>
  </si>
  <si>
    <r>
      <t xml:space="preserve">ID Codes from the household roster: </t>
    </r>
    <r>
      <rPr>
        <sz val="8"/>
        <rFont val="Times New Roman"/>
        <family val="1"/>
      </rPr>
      <t>   </t>
    </r>
  </si>
  <si>
    <t xml:space="preserve">Ask if  4 &lt; age &lt; 45 </t>
  </si>
  <si>
    <t>Educ_no_why1</t>
  </si>
  <si>
    <t>HH_Educ06</t>
  </si>
  <si>
    <t xml:space="preserve">What is the main reason for not going to school?        </t>
  </si>
  <si>
    <r>
      <rPr>
        <u/>
        <sz val="10"/>
        <rFont val="Times New Roman"/>
        <family val="1"/>
      </rPr>
      <t>NO NEED</t>
    </r>
    <r>
      <rPr>
        <sz val="10"/>
        <rFont val="Times New Roman"/>
        <family val="1"/>
      </rPr>
      <t xml:space="preserve">   
1. Level of education acquired is sufficient/completed the desired degree    
2. Do not have interest      
</t>
    </r>
    <r>
      <rPr>
        <u/>
        <sz val="10"/>
        <rFont val="Times New Roman"/>
        <family val="1"/>
      </rPr>
      <t xml:space="preserve">SCHOOL </t>
    </r>
    <r>
      <rPr>
        <sz val="10"/>
        <rFont val="Times New Roman"/>
        <family val="1"/>
      </rPr>
      <t xml:space="preserve">  
3. Poor quality of schools/education   
4. Teacher absenteeism   
5. School too far from home   
6. No admission in school   
7. Dismissed/Expelled   
8. High costs for education. For instance, the following costs: fees/uniform/books/transport      
</t>
    </r>
    <r>
      <rPr>
        <u/>
        <sz val="10"/>
        <rFont val="Times New Roman"/>
        <family val="1"/>
      </rPr>
      <t xml:space="preserve">SAFETY   </t>
    </r>
    <r>
      <rPr>
        <sz val="10"/>
        <rFont val="Times New Roman"/>
        <family val="1"/>
      </rPr>
      <t xml:space="preserve">
9. Security concerns for getting to school or at school   
10. School conflicts with religious beliefs   
11. Experienced bullying/discrimination/   xenophobia from classmates      
</t>
    </r>
    <r>
      <rPr>
        <u/>
        <sz val="10"/>
        <rFont val="Times New Roman"/>
        <family val="1"/>
      </rPr>
      <t>PERSONAL</t>
    </r>
    <r>
      <rPr>
        <sz val="10"/>
        <rFont val="Times New Roman"/>
        <family val="1"/>
      </rPr>
      <t xml:space="preserve">   
12. Illness or disability   
13. Parents consider that school is not important   
14. Parents think that educating girls is not important    
15. Had to work either outside home or at home    
16. Had to look after children/other household members   
17. Death of parent(s)   
18. Separation of parents   
19. Marriage   
20. Pregnancy   
21. Too young to attend school   
22. Too old to continue   
23. Do not understand the language of instruction (LANGUAGE BARRIER)      
</t>
    </r>
    <r>
      <rPr>
        <u/>
        <sz val="10"/>
        <rFont val="Times New Roman"/>
        <family val="1"/>
      </rPr>
      <t xml:space="preserve">DOCUMENTATION </t>
    </r>
    <r>
      <rPr>
        <sz val="10"/>
        <rFont val="Times New Roman"/>
        <family val="1"/>
      </rPr>
      <t xml:space="preserve">  
24. Problem with birth certificate   
25. No recognition of previous formal education       
96. Other: specify   
98. Don’t know   
99. Refuse to answer</t>
    </r>
  </si>
  <si>
    <t>Ask if EDUC_HH02a=2</t>
  </si>
  <si>
    <t>Barriers to schools attendance
Proportion of children/young adults who stopped attending secondary education, by top reasons</t>
  </si>
  <si>
    <t>STEP survey, WB   &amp;   LSMS   &amp; UNHCR   Adjusted       The list of answer categories is a mix of the above surveys.</t>
  </si>
  <si>
    <t>Educ_ever</t>
  </si>
  <si>
    <t>HH_Educ07</t>
  </si>
  <si>
    <t xml:space="preserve">[Have you/Has name] ever been in school?      </t>
  </si>
  <si>
    <t xml:space="preserve">1. Yes   
2. No     
99. Refuse to answer   </t>
  </si>
  <si>
    <t>Ask if  4 &lt; age &lt; 45 &amp; EDUC_HH02a=2 OR age&gt;45</t>
  </si>
  <si>
    <t xml:space="preserve">SDG 4.1.2, SDG 4.5.1 </t>
  </si>
  <si>
    <t>Proportion of population never in school
Barriers to schools attendance 
Proportion of population experiencing interuption in schooling, by reason
Highest level of education (Adult Educational attainment)</t>
  </si>
  <si>
    <t>Educ_no_why2</t>
  </si>
  <si>
    <t>HH_Educ09</t>
  </si>
  <si>
    <t xml:space="preserve">What was the main reason [you/name] never went to school?       </t>
  </si>
  <si>
    <r>
      <rPr>
        <u/>
        <sz val="10"/>
        <rFont val="Times New Roman"/>
        <family val="1"/>
      </rPr>
      <t>SCHOOL</t>
    </r>
    <r>
      <rPr>
        <sz val="10"/>
        <rFont val="Times New Roman"/>
        <family val="1"/>
      </rPr>
      <t xml:space="preserve">   
1. High costs for education. For instance, the following costs: fees/uniform/books/transport.   
2. Poor quality of schools/education   
3. Teacher absenteeism   
4. School too far from home   
5. No admission in school      
</t>
    </r>
    <r>
      <rPr>
        <u/>
        <sz val="10"/>
        <rFont val="Times New Roman"/>
        <family val="1"/>
      </rPr>
      <t xml:space="preserve">SAFETY </t>
    </r>
    <r>
      <rPr>
        <sz val="10"/>
        <rFont val="Times New Roman"/>
        <family val="1"/>
      </rPr>
      <t xml:space="preserve">  
6. Security concerns for getting to school or at school.   
7. School conflicts with religious beliefs      
</t>
    </r>
    <r>
      <rPr>
        <u/>
        <sz val="10"/>
        <rFont val="Times New Roman"/>
        <family val="1"/>
      </rPr>
      <t>PERSONAL</t>
    </r>
    <r>
      <rPr>
        <sz val="10"/>
        <rFont val="Times New Roman"/>
        <family val="1"/>
      </rPr>
      <t xml:space="preserve">   
8. Illness or disability   
9. Parents consider that school is not important   
10. Parents think that educating girls is not important    
11. Had to work either outside home or at home    
12. Had to look after children/other household members   
13. Death of parent(s)   
14. Separation of parents   
15. Do not understand the language of instruction (LANGUAGE BARRIER)      
</t>
    </r>
    <r>
      <rPr>
        <u/>
        <sz val="10"/>
        <rFont val="Times New Roman"/>
        <family val="1"/>
      </rPr>
      <t>NO NEED</t>
    </r>
    <r>
      <rPr>
        <sz val="10"/>
        <rFont val="Times New Roman"/>
        <family val="1"/>
      </rPr>
      <t xml:space="preserve">   
16. Do not have interest      
</t>
    </r>
    <r>
      <rPr>
        <u/>
        <sz val="10"/>
        <rFont val="Times New Roman"/>
        <family val="1"/>
      </rPr>
      <t>DOCUMENTATION</t>
    </r>
    <r>
      <rPr>
        <sz val="10"/>
        <rFont val="Times New Roman"/>
        <family val="1"/>
      </rPr>
      <t xml:space="preserve">   
17. Problem with birth certificate      
96. Other: specify   
98. Don’t know   
99. Refuse to answer</t>
    </r>
  </si>
  <si>
    <t>Ask if  HH_EDUC07=2</t>
  </si>
  <si>
    <t xml:space="preserve">Barriers to schools attendance </t>
  </si>
  <si>
    <t>STEP survey, WB   &amp;   LSMS   &amp; UNHCR   Adjusted       
The list of answer categories is a mix of the above surveys.</t>
  </si>
  <si>
    <t xml:space="preserve"> </t>
  </si>
  <si>
    <t>Educ_start_age</t>
  </si>
  <si>
    <t>HH_Educ10</t>
  </si>
  <si>
    <t xml:space="preserve">At what age did [you/name] start going to school? 
Do not include kindergarten  or preschool </t>
  </si>
  <si>
    <t xml:space="preserve">Age: 
98. Don’t know   </t>
  </si>
  <si>
    <t>Proportion of population who started going to school later than expected (one year later)</t>
  </si>
  <si>
    <t>Educ_out</t>
  </si>
  <si>
    <t>HH_Educ14</t>
  </si>
  <si>
    <t xml:space="preserve">When did [you/name] stop going to school? Less than 1 year ago, 1 to 2 years ago, 3 to 5 years ago or more than 5 years ago?       </t>
  </si>
  <si>
    <t>1. less than 1 year ago  
2. 1-2 years ago
3. 3-5 years ago
4. more than 5 years ago
98. Don’t know   
99. Refuse to answer</t>
  </si>
  <si>
    <t>Ask if EDUC_HH02a=2 &amp; HH_Educ07=1 &amp; Age&lt;=24</t>
  </si>
  <si>
    <t>SDG 8.6.1</t>
  </si>
  <si>
    <t>Educ_interrup_a</t>
  </si>
  <si>
    <t>HH_Educ15a</t>
  </si>
  <si>
    <t xml:space="preserve">[Have you/Has name] ever experienced interruptions in [your/his/her] education? 
Interruptions means that [you/name] stopped going to school at some point and then [you/name] returned to school.   </t>
  </si>
  <si>
    <t>1. Yes    
2. No   
98. Don’t know   
99. Refuse to answer</t>
  </si>
  <si>
    <t>Ask only if HH_EDUC02a=2 &amp; HH_EDUC07=1 &amp; Age&lt;24 OR if HH_EDUC02a=1 and Age&lt;24</t>
  </si>
  <si>
    <t>Proportion of population experiencing interuption in schooling, by reason</t>
  </si>
  <si>
    <t xml:space="preserve">Educ_interrup_b   </t>
  </si>
  <si>
    <t xml:space="preserve">HH_Educ15b   </t>
  </si>
  <si>
    <t>Did any of these interruptions occur in the last school year?</t>
  </si>
  <si>
    <t>1. Yes  
2. No 
98. Don’t know 
99. Refuse to answer</t>
  </si>
  <si>
    <t>Ask if HH_Educ15a=1 and HH_Educ14=1</t>
  </si>
  <si>
    <t>Educ_inter_why</t>
  </si>
  <si>
    <t>HH_Educ16</t>
  </si>
  <si>
    <t>What was the main reason of [your/name’s] education interruption?    
If [you/name] experienced several interruptions, give us the reason of the last interruption.</t>
  </si>
  <si>
    <r>
      <rPr>
        <u/>
        <sz val="10"/>
        <rFont val="Times New Roman"/>
        <family val="1"/>
      </rPr>
      <t>NO NEED</t>
    </r>
    <r>
      <rPr>
        <sz val="10"/>
        <rFont val="Times New Roman"/>
        <family val="1"/>
      </rPr>
      <t xml:space="preserve"> 
1. Level of education acquired was considered sufficient 
2. Stopped having interest 
</t>
    </r>
    <r>
      <rPr>
        <u/>
        <sz val="10"/>
        <rFont val="Times New Roman"/>
        <family val="1"/>
      </rPr>
      <t>SCHOOL</t>
    </r>
    <r>
      <rPr>
        <sz val="10"/>
        <rFont val="Times New Roman"/>
        <family val="1"/>
      </rPr>
      <t xml:space="preserve"> 
3. High costs for education. For instance, the following costs: fees/uniform/books/transport. 
4. Poor quality of schools/education 
5. Teacher absenteeism 
6. School too far from home 
7. No admission in school 
8. Dismissed/Expelled      
</t>
    </r>
    <r>
      <rPr>
        <u/>
        <sz val="10"/>
        <rFont val="Times New Roman"/>
        <family val="1"/>
      </rPr>
      <t>PERSONAL</t>
    </r>
    <r>
      <rPr>
        <sz val="10"/>
        <rFont val="Times New Roman"/>
        <family val="1"/>
      </rPr>
      <t xml:space="preserve">   
9. Illness or disability   
10. Parents consider that school is not important   
11. Parents think that educating girls is not important    
12. Had to work either outside home or at home   
13. Had to look after children/other household members   
14. Death of parent(s)   
15. Separation of parents   
16. Marriage   
17. Pregnancy   
18. Did not understand the language of instruction (LANGUAGE BARRIER)      
</t>
    </r>
    <r>
      <rPr>
        <u/>
        <sz val="10"/>
        <rFont val="Times New Roman"/>
        <family val="1"/>
      </rPr>
      <t xml:space="preserve">SAFETY </t>
    </r>
    <r>
      <rPr>
        <sz val="10"/>
        <rFont val="Times New Roman"/>
        <family val="1"/>
      </rPr>
      <t xml:space="preserve">  
19. Security concerns (getting to school, or at school)   
20. Experienced bullying/discrimination/   xenophobia from classmates   
21. School conflicts with religious beliefs      
</t>
    </r>
    <r>
      <rPr>
        <u/>
        <sz val="10"/>
        <rFont val="Times New Roman"/>
        <family val="1"/>
      </rPr>
      <t>DOCUMENTATION</t>
    </r>
    <r>
      <rPr>
        <sz val="10"/>
        <rFont val="Times New Roman"/>
        <family val="1"/>
      </rPr>
      <t xml:space="preserve">   
22. Problem with birth certificate   
23. No recognition of previous formal education       
96. Other: specify   
98. Don’t know  
 99. Refuse to answer</t>
    </r>
  </si>
  <si>
    <t>Ask if HH_Educ15a=1</t>
  </si>
  <si>
    <t xml:space="preserve">Proportion of population experiencing interuption in schooling, by reason </t>
  </si>
  <si>
    <t>STEP survey, WB   &amp;   LSMS   &amp;   UNHCR   Adjusted       The list of answer categories is a mix of the above surveys.</t>
  </si>
  <si>
    <t>Educ_lev_where</t>
  </si>
  <si>
    <t>HH_Educ17</t>
  </si>
  <si>
    <t xml:space="preserve">In which country [have you /has name] completed [your/her/his] highest level of formal education? </t>
  </si>
  <si>
    <t>1.In [host country] 
2.In [country of origin] 
3.In another country different than [country of origin]: specify   
98. Don’t know   
99. Refuse to answer</t>
  </si>
  <si>
    <t>Ask if HH_EDUC02a=2 &amp; HH_EDUC07=1 OR age&gt;45 &amp; HH_EDUC07=1</t>
  </si>
  <si>
    <t>Highest level of education (Adult Educational attainment)</t>
  </si>
  <si>
    <t>Educ_year_c</t>
  </si>
  <si>
    <t>HH_Educ18</t>
  </si>
  <si>
    <t xml:space="preserve">What is the highest [grade / year] of formal education that [you have/name has] completed?   </t>
  </si>
  <si>
    <t>List of all possible grades – The list must be adapted to the national education system of the country where the household member completed her/his highest level of formal education.</t>
  </si>
  <si>
    <t xml:space="preserve">STEP survey, WB      </t>
  </si>
  <si>
    <t xml:space="preserve">The list of grades/years that will appear will depend on the response to Educ17. The default list will be the (host country) list.   </t>
  </si>
  <si>
    <t>Educ_lit</t>
  </si>
  <si>
    <t>HH_Educ23</t>
  </si>
  <si>
    <t>[Can you/Can name]  read or write a simple text in any language?</t>
  </si>
  <si>
    <t xml:space="preserve">
Ask only if HH_EDUC02a=2 &amp; HH_EDUC07=2 
OR 
HH_EDUC02a=2 &amp; HH_EDUC07=1 &amp; HH_EDUC18 corresponds to a grade lower than the 9th year of formal education (cf discussion with Leona on SSD case; to adjust at the country level)
OR
Age&gt;45 &amp; HH_EDUC07=1 &amp; HH_EDUC18 corresponds to a grade lower than the 9th year of formal education (cf discussion with Leona on SSD case; to adjust at the country level)</t>
  </si>
  <si>
    <t>Basic literacy (indicator technically only requires this one question, although there is a condition implemented)</t>
  </si>
  <si>
    <t>EMPLOYMENT (to be asked to all HH members 15+)</t>
  </si>
  <si>
    <t>Intro</t>
  </si>
  <si>
    <t xml:space="preserve">Now we will talk about activities that you and members of your household might be doing to make money. Please think of any work for pay, including paid casual labour, paid incentive work, paid volunteering. </t>
  </si>
  <si>
    <t xml:space="preserve">SDG 8.5.2: Unemployment rate, by sex, age, and persons with disabilities
RBM O 13.3 Proportion of people (working age) who are unemployed </t>
  </si>
  <si>
    <t>HH_EMP01</t>
  </si>
  <si>
    <t xml:space="preserve">During the past 7 days, from [the same week day as the day of the interview] last week up to yesterday, did you work for someone else for pay, for one or more hours? </t>
  </si>
  <si>
    <t>Yes 1
No 2</t>
  </si>
  <si>
    <t xml:space="preserve">During the past 7 days, from [the same week day as the day of the interview] last week up to yesterday, did [you/NAME] work for someone else for pay, for one or more hours? </t>
  </si>
  <si>
    <t>HH_EMP02</t>
  </si>
  <si>
    <t>During the past 7 days, from [the same week day as the day of the interview] last week up to yesterday, did [you/NAME] run or do any kind of business, farming or other activity to make money?</t>
  </si>
  <si>
    <t>HH_EMP03</t>
  </si>
  <si>
    <t>During the past 7 days, from [the same week day as the day of the interview] last week up to yesterday, did [you/NAME] help in a family business or farm?</t>
  </si>
  <si>
    <t>HH_EMP04</t>
  </si>
  <si>
    <t>Even though you did not work, during the past 7 days, did [you/NAME] have a paid job from which you were temporarily absent?</t>
  </si>
  <si>
    <t>Ask if HH_EMP01=2 AND HH_EMP02=2 AND HH_EMP03=2</t>
  </si>
  <si>
    <t>HH_EMP05</t>
  </si>
  <si>
    <t>Even though you did not work, during the past 7 days, did [you/NAME] have a business or a helper job in a family business/farm from which you were temporarily absent?</t>
  </si>
  <si>
    <t>HH_EMP06a</t>
  </si>
  <si>
    <t>During the past 7 days, did [you/NAME] do any work in farming or rearing farm animals, fishing or fish farming, or none of these?</t>
  </si>
  <si>
    <t>Farming or rearing farm animals 1
Fishing or fish farming 2
None of the above 3</t>
  </si>
  <si>
    <t>Ask if HH_EMP05=2 AND HH_EMP04=2</t>
  </si>
  <si>
    <t>HH_EMP06b</t>
  </si>
  <si>
    <t>Was this work that you mentioned in farming or rearing farming animals, fishing or fish farming, or none of these?</t>
  </si>
  <si>
    <t>Ask if HH_EMP02=1 or HH_EMP03=1
OR
Ask if HH_EMP05=1</t>
  </si>
  <si>
    <t>HH_EMP06c</t>
  </si>
  <si>
    <t>Thinking about this work, are the products intended only for sale, mainly for sale, only for family use, or mainly for family use?</t>
  </si>
  <si>
    <t>Only for sale 1
Mainly for sale 2
Only for family use 3
Mainly for family use 4</t>
  </si>
  <si>
    <t>Ask if HH_EMP06a=1 or 2
OR
Ask if HH_EMP06b=1 or 2</t>
  </si>
  <si>
    <t xml:space="preserve">LANGUAGES </t>
  </si>
  <si>
    <t>We are going to ask you a few questions about languages that [you/name’s] understand and use to communicate.</t>
  </si>
  <si>
    <t>Lang_undh1</t>
  </si>
  <si>
    <t>HH_Lang02a</t>
  </si>
  <si>
    <t xml:space="preserve">Can [you/name] understand any of the following languages?       
[host country language 1]?   </t>
  </si>
  <si>
    <t xml:space="preserve">Ask if age&gt;=15
(MAY ADD GEOGRAPHIC ENABLING IF MANY REGIONAL LANGUAGES) </t>
  </si>
  <si>
    <t>EGRISS - IRRS first level indicators: Language proficiency (Host country); signal of capaciy to navigate society.</t>
  </si>
  <si>
    <t>EU skills profile</t>
  </si>
  <si>
    <t>Adapt the list of languages at the country level.</t>
  </si>
  <si>
    <t>Lang_undh2</t>
  </si>
  <si>
    <t>HH_Lang02b</t>
  </si>
  <si>
    <t xml:space="preserve">[host country language 2]?   </t>
  </si>
  <si>
    <t>Lang_undE</t>
  </si>
  <si>
    <t>HH_Lang02c</t>
  </si>
  <si>
    <t>English?</t>
  </si>
  <si>
    <t>Ask if age&gt;=15</t>
  </si>
  <si>
    <t>Remove</t>
  </si>
  <si>
    <t>\</t>
  </si>
  <si>
    <t>Lang_undF</t>
  </si>
  <si>
    <t>HH_Lang02d</t>
  </si>
  <si>
    <t>French?</t>
  </si>
  <si>
    <t>Lang_spkh1</t>
  </si>
  <si>
    <t>HH_Lang03a</t>
  </si>
  <si>
    <t xml:space="preserve">Can [you/name] speak any of the following languages well enough to conduct a conversation?      
[host country language 1]?   </t>
  </si>
  <si>
    <t xml:space="preserve">1. Yes   
2. No
3. Volunteered response: the child cannot speak   
98. Don’t know   
99. Refuse to answer   </t>
  </si>
  <si>
    <t>Ask if HH_Lang02a =1.</t>
  </si>
  <si>
    <t>Lang_spkh2</t>
  </si>
  <si>
    <t>HH_Lang03b</t>
  </si>
  <si>
    <t>Ask if HH_Lang02b=1.</t>
  </si>
  <si>
    <t>Lang_spkE</t>
  </si>
  <si>
    <t>HH_Lang03c</t>
  </si>
  <si>
    <t>Ask if HH_Lang02c=1.</t>
  </si>
  <si>
    <t>Lang_spkF</t>
  </si>
  <si>
    <t>HH_Lang03d</t>
  </si>
  <si>
    <t>Ask if HH_Lang02d=1.</t>
  </si>
  <si>
    <t>Lang_host</t>
  </si>
  <si>
    <t>HH_Lang04a</t>
  </si>
  <si>
    <t xml:space="preserve">[Have you/Has name] ever participated in a language course to learn any of [host country] languages?    </t>
  </si>
  <si>
    <t xml:space="preserve">1. Yes   
2. No   
3. I studied in '(host country) so I never needed any language course.
4. v.r. These courses don't exist
98. Don’t know   
99. Refuse to answer   </t>
  </si>
  <si>
    <t>Ask if age&gt;=15 &amp; HH_EDUC02a!=1
AND
Ask if Intro_07=1 or 2</t>
  </si>
  <si>
    <t>EGRISS - IRRS second level indicators: Participation in host country language courses </t>
  </si>
  <si>
    <t>Lang_host_W</t>
  </si>
  <si>
    <t>HH_Lang04b</t>
  </si>
  <si>
    <r>
      <t xml:space="preserve">Which language </t>
    </r>
    <r>
      <rPr>
        <sz val="11"/>
        <rFont val="Times New Roman"/>
        <family val="1"/>
      </rPr>
      <t>[</t>
    </r>
    <r>
      <rPr>
        <sz val="10"/>
        <rFont val="Times New Roman"/>
        <family val="1"/>
      </rPr>
      <t>have you/has name</t>
    </r>
    <r>
      <rPr>
        <sz val="11"/>
        <rFont val="Times New Roman"/>
        <family val="1"/>
      </rPr>
      <t xml:space="preserve">] </t>
    </r>
    <r>
      <rPr>
        <sz val="10"/>
        <rFont val="Times New Roman"/>
        <family val="1"/>
      </rPr>
      <t>been learning?</t>
    </r>
  </si>
  <si>
    <t>A. [host country language 1]   
B. [host country language 2]   
C. [host country language 3]</t>
  </si>
  <si>
    <t>Ask if HH_Lang04a=1
AND
Ask if Intro_07=1 or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</si>
</sst>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1"/>
      <color rgb="FFFF0000"/>
      <name val="Calibri"/>
      <family val="2"/>
      <scheme val="minor"/>
    </font>
    <font>
      <sz val="12"/>
      <name val="Calibri"/>
      <family val="2"/>
      <scheme val="minor"/>
    </font>
    <font>
      <b/>
      <sz val="11"/>
      <name val="Calibri"/>
      <family val="2"/>
      <scheme val="minor"/>
    </font>
    <font>
      <sz val="10"/>
      <name val="Times New Roman"/>
      <family val="1"/>
    </font>
    <font>
      <i/>
      <sz val="10"/>
      <name val="Times New Roman"/>
      <family val="1"/>
    </font>
    <font>
      <sz val="11"/>
      <name val="Times New Roman"/>
      <family val="1"/>
    </font>
    <font>
      <sz val="8"/>
      <name val="Times New Roman"/>
      <family val="1"/>
    </font>
    <font>
      <sz val="8"/>
      <name val="Calibri"/>
      <family val="2"/>
    </font>
    <font>
      <sz val="10"/>
      <color rgb="FF000000"/>
      <name val="Times New Roman"/>
      <family val="1"/>
    </font>
    <font>
      <b/>
      <sz val="10"/>
      <name val="Times New Roman"/>
      <family val="1"/>
    </font>
    <font>
      <b/>
      <sz val="12"/>
      <name val="Calibri"/>
      <family val="2"/>
      <scheme val="minor"/>
    </font>
    <font>
      <sz val="10"/>
      <color rgb="FFFF0000"/>
      <name val="Times New Roman"/>
      <family val="1"/>
    </font>
    <font>
      <sz val="10"/>
      <color theme="1"/>
      <name val="Times New Roman"/>
      <family val="1"/>
    </font>
    <font>
      <b/>
      <u/>
      <sz val="10"/>
      <name val="Times New Roman"/>
      <family val="1"/>
    </font>
    <font>
      <u/>
      <sz val="10"/>
      <name val="Times New Roman"/>
      <family val="1"/>
    </font>
    <font>
      <sz val="12"/>
      <name val="Times New Roman"/>
      <family val="1"/>
    </font>
    <font>
      <sz val="12"/>
      <color theme="1"/>
      <name val="Times New Roman"/>
      <family val="1"/>
    </font>
    <font>
      <sz val="9"/>
      <color indexed="81"/>
      <name val="Tahoma"/>
      <charset val="1"/>
    </font>
  </fonts>
  <fills count="11">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rgb="FFFFCCFF"/>
        <bgColor indexed="64"/>
      </patternFill>
    </fill>
    <fill>
      <patternFill patternType="solid">
        <fgColor theme="5" tint="0.39997558519241921"/>
        <bgColor indexed="64"/>
      </patternFill>
    </fill>
    <fill>
      <patternFill patternType="solid">
        <fgColor rgb="FFFFFF00"/>
        <bgColor indexed="64"/>
      </patternFill>
    </fill>
    <fill>
      <patternFill patternType="solid">
        <fgColor rgb="FF4AD9D6"/>
        <bgColor indexed="64"/>
      </patternFill>
    </fill>
    <fill>
      <patternFill patternType="solid">
        <fgColor theme="2" tint="-9.9978637043366805E-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s>
  <cellStyleXfs count="1">
    <xf numFmtId="0" fontId="0" fillId="0" borderId="0"/>
  </cellStyleXfs>
  <cellXfs count="75">
    <xf numFmtId="0" fontId="0" fillId="0" borderId="0" xfId="0"/>
    <xf numFmtId="0" fontId="2" fillId="0" borderId="0" xfId="0" applyFont="1"/>
    <xf numFmtId="0" fontId="2" fillId="0" borderId="0" xfId="0" applyFont="1" applyAlignment="1">
      <alignment horizont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2" fillId="0" borderId="1" xfId="0" applyFont="1" applyBorder="1"/>
    <xf numFmtId="0" fontId="4" fillId="0" borderId="6" xfId="0" applyFont="1" applyBorder="1" applyAlignment="1">
      <alignment vertical="center" wrapText="1"/>
    </xf>
    <xf numFmtId="0" fontId="4" fillId="0" borderId="7" xfId="0" applyFont="1" applyBorder="1" applyAlignment="1">
      <alignment vertical="center" wrapText="1"/>
    </xf>
    <xf numFmtId="0" fontId="5" fillId="0" borderId="7" xfId="0" applyFont="1" applyBorder="1" applyAlignment="1">
      <alignment vertical="center" wrapText="1"/>
    </xf>
    <xf numFmtId="0" fontId="6" fillId="0" borderId="1" xfId="0" applyFont="1" applyBorder="1" applyAlignment="1">
      <alignment wrapText="1"/>
    </xf>
    <xf numFmtId="0" fontId="4" fillId="3" borderId="7" xfId="0" applyFont="1" applyFill="1" applyBorder="1" applyAlignment="1">
      <alignment vertical="center" wrapText="1"/>
    </xf>
    <xf numFmtId="0" fontId="4" fillId="0" borderId="1" xfId="0" applyFont="1" applyBorder="1" applyAlignment="1">
      <alignment vertical="center" wrapText="1"/>
    </xf>
    <xf numFmtId="0" fontId="6" fillId="0" borderId="7" xfId="0" applyFont="1" applyBorder="1" applyAlignment="1">
      <alignment wrapText="1"/>
    </xf>
    <xf numFmtId="0" fontId="2" fillId="4" borderId="0" xfId="0" applyFont="1" applyFill="1"/>
    <xf numFmtId="0" fontId="2" fillId="0" borderId="0" xfId="0" applyFont="1" applyAlignment="1">
      <alignment wrapText="1"/>
    </xf>
    <xf numFmtId="0" fontId="4" fillId="3" borderId="1" xfId="0" applyFont="1" applyFill="1" applyBorder="1" applyAlignment="1">
      <alignment vertical="center" wrapText="1"/>
    </xf>
    <xf numFmtId="0" fontId="4" fillId="5" borderId="1" xfId="0" applyFont="1" applyFill="1" applyBorder="1" applyAlignment="1">
      <alignment vertical="center" wrapText="1"/>
    </xf>
    <xf numFmtId="0" fontId="2" fillId="5" borderId="1" xfId="0" applyFont="1" applyFill="1" applyBorder="1" applyAlignment="1">
      <alignment horizontal="center"/>
    </xf>
    <xf numFmtId="0" fontId="2" fillId="5" borderId="0" xfId="0" applyFont="1" applyFill="1"/>
    <xf numFmtId="0" fontId="2" fillId="0" borderId="6" xfId="0" applyFont="1" applyBorder="1"/>
    <xf numFmtId="0" fontId="4" fillId="6" borderId="7" xfId="0" applyFont="1" applyFill="1" applyBorder="1" applyAlignment="1">
      <alignment vertical="center" wrapText="1"/>
    </xf>
    <xf numFmtId="0" fontId="4" fillId="0" borderId="1" xfId="0" applyFont="1" applyBorder="1" applyAlignment="1">
      <alignment horizontal="left" vertical="center" wrapText="1"/>
    </xf>
    <xf numFmtId="0" fontId="9" fillId="0" borderId="1" xfId="0" applyFont="1" applyBorder="1" applyAlignment="1">
      <alignment horizontal="justify" vertical="center"/>
    </xf>
    <xf numFmtId="0" fontId="2" fillId="7" borderId="0" xfId="0" applyFont="1" applyFill="1"/>
    <xf numFmtId="0" fontId="2" fillId="8" borderId="0" xfId="0" applyFont="1" applyFill="1"/>
    <xf numFmtId="0" fontId="10" fillId="0" borderId="7" xfId="0" applyFont="1" applyBorder="1" applyAlignment="1">
      <alignment vertical="center" wrapText="1"/>
    </xf>
    <xf numFmtId="0" fontId="4" fillId="0" borderId="0" xfId="0" applyFont="1" applyAlignment="1">
      <alignment wrapText="1"/>
    </xf>
    <xf numFmtId="0" fontId="4" fillId="0" borderId="0" xfId="0" applyFont="1"/>
    <xf numFmtId="0" fontId="11" fillId="2" borderId="3" xfId="0" applyFont="1" applyFill="1" applyBorder="1"/>
    <xf numFmtId="0" fontId="11" fillId="2" borderId="4" xfId="0" applyFont="1" applyFill="1" applyBorder="1"/>
    <xf numFmtId="0" fontId="2" fillId="2" borderId="4" xfId="0" applyFont="1" applyFill="1" applyBorder="1"/>
    <xf numFmtId="0" fontId="2" fillId="0" borderId="4" xfId="0" applyFont="1" applyBorder="1"/>
    <xf numFmtId="0" fontId="2" fillId="0" borderId="4" xfId="0" applyFont="1" applyBorder="1"/>
    <xf numFmtId="0" fontId="11" fillId="0" borderId="4" xfId="0" applyFont="1" applyBorder="1"/>
    <xf numFmtId="0" fontId="4" fillId="0" borderId="8" xfId="0" applyFont="1" applyBorder="1" applyAlignment="1">
      <alignment vertical="center" wrapText="1"/>
    </xf>
    <xf numFmtId="0" fontId="2" fillId="0" borderId="9" xfId="0" applyFont="1" applyBorder="1"/>
    <xf numFmtId="0" fontId="4" fillId="3" borderId="2" xfId="0" applyFont="1" applyFill="1" applyBorder="1" applyAlignment="1">
      <alignment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4" fillId="6" borderId="1" xfId="0" applyFont="1" applyFill="1" applyBorder="1" applyAlignment="1">
      <alignment vertical="center" wrapText="1"/>
    </xf>
    <xf numFmtId="0" fontId="2" fillId="0" borderId="1" xfId="0" applyFont="1" applyBorder="1" applyAlignment="1">
      <alignment wrapText="1"/>
    </xf>
    <xf numFmtId="0" fontId="4" fillId="0" borderId="1" xfId="0" applyFont="1" applyBorder="1" applyAlignment="1">
      <alignment wrapText="1"/>
    </xf>
    <xf numFmtId="0" fontId="12" fillId="0" borderId="1" xfId="0" applyFont="1" applyBorder="1" applyAlignment="1">
      <alignment vertical="center" wrapText="1"/>
    </xf>
    <xf numFmtId="0" fontId="2" fillId="5" borderId="1" xfId="0" applyFont="1" applyFill="1" applyBorder="1"/>
    <xf numFmtId="0" fontId="4" fillId="5" borderId="7" xfId="0" applyFont="1" applyFill="1" applyBorder="1" applyAlignment="1">
      <alignment vertical="center" wrapText="1"/>
    </xf>
    <xf numFmtId="0" fontId="4" fillId="0" borderId="5" xfId="0" applyFont="1" applyBorder="1" applyAlignment="1">
      <alignment vertical="center" wrapText="1"/>
    </xf>
    <xf numFmtId="0" fontId="13" fillId="0" borderId="7" xfId="0" applyFont="1" applyBorder="1" applyAlignment="1">
      <alignment vertical="center" wrapText="1"/>
    </xf>
    <xf numFmtId="0" fontId="4" fillId="9" borderId="7" xfId="0" applyFont="1" applyFill="1" applyBorder="1" applyAlignment="1">
      <alignment vertical="center" wrapText="1"/>
    </xf>
    <xf numFmtId="0" fontId="2" fillId="0" borderId="1" xfId="0" applyFont="1" applyBorder="1" applyAlignment="1">
      <alignment vertical="center" wrapText="1"/>
    </xf>
    <xf numFmtId="0" fontId="2" fillId="0" borderId="7" xfId="0" applyFont="1" applyBorder="1" applyAlignment="1">
      <alignment vertical="center" wrapText="1"/>
    </xf>
    <xf numFmtId="0" fontId="4" fillId="0" borderId="7" xfId="0" applyFont="1" applyBorder="1" applyAlignment="1">
      <alignment horizontal="left" vertical="center" wrapText="1" indent="6"/>
    </xf>
    <xf numFmtId="0" fontId="6" fillId="0" borderId="7" xfId="0" applyFont="1" applyBorder="1" applyAlignment="1">
      <alignment vertical="center" wrapText="1"/>
    </xf>
    <xf numFmtId="0" fontId="4" fillId="0" borderId="7" xfId="0" applyFont="1" applyBorder="1" applyAlignment="1">
      <alignment horizontal="left" vertical="center" wrapText="1" indent="3"/>
    </xf>
    <xf numFmtId="0" fontId="4" fillId="0" borderId="1" xfId="0" applyFont="1" applyBorder="1"/>
    <xf numFmtId="0" fontId="4" fillId="0" borderId="7" xfId="0" applyFont="1" applyBorder="1"/>
    <xf numFmtId="0" fontId="2" fillId="0" borderId="1" xfId="0" applyFont="1" applyBorder="1" applyAlignment="1">
      <alignment vertical="center"/>
    </xf>
    <xf numFmtId="0" fontId="2" fillId="0" borderId="7" xfId="0" applyFont="1" applyBorder="1" applyAlignment="1">
      <alignment vertical="center"/>
    </xf>
    <xf numFmtId="0" fontId="3" fillId="10" borderId="9" xfId="0" applyFont="1" applyFill="1" applyBorder="1"/>
    <xf numFmtId="0" fontId="4" fillId="10" borderId="0" xfId="0" applyFont="1" applyFill="1" applyAlignment="1">
      <alignment vertical="center" wrapText="1"/>
    </xf>
    <xf numFmtId="0" fontId="2" fillId="10" borderId="0" xfId="0" applyFont="1" applyFill="1"/>
    <xf numFmtId="0" fontId="4" fillId="10" borderId="12" xfId="0" applyFont="1" applyFill="1" applyBorder="1" applyAlignment="1">
      <alignment vertical="center" wrapText="1"/>
    </xf>
    <xf numFmtId="0" fontId="16" fillId="0" borderId="1" xfId="0" applyFont="1" applyBorder="1" applyAlignment="1">
      <alignment vertical="center" wrapText="1"/>
    </xf>
    <xf numFmtId="0" fontId="0" fillId="3"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7" fillId="0" borderId="1" xfId="0" applyFont="1" applyBorder="1" applyAlignment="1">
      <alignment vertical="center" wrapText="1"/>
    </xf>
    <xf numFmtId="0" fontId="11" fillId="2" borderId="13" xfId="0" applyFont="1" applyFill="1" applyBorder="1"/>
    <xf numFmtId="0" fontId="11" fillId="2" borderId="5" xfId="0" applyFont="1" applyFill="1" applyBorder="1"/>
    <xf numFmtId="0" fontId="5" fillId="0" borderId="1" xfId="0" applyFont="1" applyBorder="1" applyAlignment="1">
      <alignment vertical="center" wrapText="1"/>
    </xf>
    <xf numFmtId="0" fontId="4" fillId="0" borderId="1" xfId="0" applyFont="1" applyBorder="1" applyAlignment="1">
      <alignment horizontal="left" vertical="center" wrapText="1" indent="6"/>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unhcr365.sharepoint.com/teams/eo-gdssds-GlobalSurveyTeam/Shared%20Documents/300%20-%20ST%20-%20Survey%20Team%20-%20Main/Survey%20Programme%20Team/Projects/FDS/Instrument/Revisions%202026/Master%20files%20revised/FDS_HoH%20Questionnaire_Master%20Form_Revised_v01.xlsx" TargetMode="External"/><Relationship Id="rId2" Type="http://schemas.microsoft.com/office/2019/04/relationships/externalLinkLongPath" Target="https://unhcr365.sharepoint.com/teams/eo-gdssds-GlobalSurveyTeam/Shared%20Documents/300%20-%20ST%20-%20Survey%20Team%20-%20Main/Survey%20Programme%20Team/Projects/FDS/Instrument/Revisions%202026/Master%20files%20revised/FDS_HoH%20Questionnaire_Master%20Form_Revised_v01.xlsx?5EBA8C6C" TargetMode="External"/><Relationship Id="rId1" Type="http://schemas.openxmlformats.org/officeDocument/2006/relationships/externalLinkPath" Target="file:///\\5EBA8C6C\FDS_HoH%20Questionnaire_Master%20Form_Revised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Validation"/>
      <sheetName val="Intro Quest"/>
      <sheetName val="HH Definition"/>
      <sheetName val="HH Roster"/>
      <sheetName val="ID quest"/>
      <sheetName val="Disabilities"/>
      <sheetName val="Documentation"/>
      <sheetName val="Sheet1"/>
      <sheetName val="Sheet2"/>
      <sheetName val="Sheet3"/>
      <sheetName val="Sheet4"/>
      <sheetName val="Displacement History Ref-Asyl"/>
      <sheetName val="Displacement History IDPs"/>
      <sheetName val="DH Refugee Returnees"/>
      <sheetName val="Shelter"/>
      <sheetName val="Wash"/>
      <sheetName val="Clean Energy"/>
      <sheetName val="Assets"/>
      <sheetName val="Mosquito nets NEW"/>
      <sheetName val="Mosquito nets"/>
      <sheetName val="Land &amp; Property"/>
      <sheetName val="Livestock"/>
      <sheetName val="Fishery"/>
      <sheetName val="NEW Food &amp; Nutrition"/>
      <sheetName val="Food &amp; Nutrition"/>
      <sheetName val="Objective wellbeing"/>
      <sheetName val="Remittances"/>
      <sheetName val="Exp. Of shocks"/>
      <sheetName val="Social Protection"/>
      <sheetName val="Child labor"/>
      <sheetName val="Observations"/>
      <sheetName val="Banking for hh roster"/>
    </sheetNames>
    <sheetDataSet>
      <sheetData sheetId="0">
        <row r="1">
          <cell r="A1" t="str">
            <v>HoH Questionnaire's Validations</v>
          </cell>
          <cell r="W1" t="str">
            <v>FOR SSD FORM</v>
          </cell>
        </row>
        <row r="2">
          <cell r="A2" t="str">
            <v>Magrith Mena, January 2024</v>
          </cell>
          <cell r="W2" t="str">
            <v>Early 2023</v>
          </cell>
        </row>
        <row r="3">
          <cell r="A3" t="str">
            <v>Variable</v>
          </cell>
          <cell r="B3" t="str">
            <v>Nro</v>
          </cell>
          <cell r="C3" t="str">
            <v>Branch</v>
          </cell>
          <cell r="D3" t="str">
            <v>Module</v>
          </cell>
          <cell r="E3" t="str">
            <v>Q_ID</v>
          </cell>
          <cell r="F3" t="str">
            <v>Variable</v>
          </cell>
          <cell r="G3" t="str">
            <v>PR</v>
          </cell>
          <cell r="H3" t="str">
            <v>Type</v>
          </cell>
          <cell r="I3" t="str">
            <v>Question</v>
          </cell>
          <cell r="J3" t="str">
            <v>Interviewer</v>
          </cell>
          <cell r="K3" t="str">
            <v>Response</v>
          </cell>
          <cell r="L3" t="str">
            <v>HINT</v>
          </cell>
          <cell r="M3" t="str">
            <v>MISSING VALUES</v>
          </cell>
          <cell r="N3" t="str">
            <v>Condition 1</v>
          </cell>
          <cell r="O3" t="str">
            <v>Condition 2</v>
          </cell>
          <cell r="P3" t="str">
            <v>Condition 3</v>
          </cell>
          <cell r="Q3" t="str">
            <v>Condition 4</v>
          </cell>
          <cell r="R3" t="str">
            <v>Validation</v>
          </cell>
          <cell r="S3" t="str">
            <v>Message</v>
          </cell>
          <cell r="T3" t="str">
            <v>Source</v>
          </cell>
          <cell r="U3" t="str">
            <v>Adjustments for following surveys</v>
          </cell>
          <cell r="V3" t="str">
            <v>Internal Comment</v>
          </cell>
          <cell r="W3" t="str">
            <v>Status SSD</v>
          </cell>
        </row>
        <row r="4">
          <cell r="A4" t="str">
            <v>HH_00a</v>
          </cell>
          <cell r="B4">
            <v>1</v>
          </cell>
          <cell r="C4" t="str">
            <v>Other Modules</v>
          </cell>
          <cell r="D4" t="str">
            <v>HH Roster</v>
          </cell>
          <cell r="E4" t="str">
            <v>HH_date</v>
          </cell>
          <cell r="F4" t="str">
            <v>HH_00a</v>
          </cell>
          <cell r="G4">
            <v>1</v>
          </cell>
          <cell r="H4" t="str">
            <v>OI</v>
          </cell>
          <cell r="I4" t="str">
            <v>First, could you tell me when you arrived in [host country]?  Tell me the year and the month.</v>
          </cell>
          <cell r="K4" t="str">
            <v xml:space="preserve">Years: 
Months:
98. Don’t know  for months
9998 don’t know for years
</v>
          </cell>
          <cell r="L4" t="str">
            <v xml:space="preserve">CHANGE THE HINT: 
If the year is unknown enter 9998
If the month is unknown enter 98
</v>
          </cell>
          <cell r="M4" t="str">
            <v>RECODE MISSING VALUES
'Don't know' for years should be 9998
'Don't know' for months should be 98</v>
          </cell>
          <cell r="N4" t="str">
            <v>Range</v>
          </cell>
          <cell r="O4" t="str">
            <v>Range</v>
          </cell>
          <cell r="R4" t="str">
            <v>Condition 1.
"Year" (should be &gt;= 1900 &amp; =&lt;2025) OR (be=9998)
Condition 2.
"Month" (should be &gt;= 1 &amp; =&lt; 12) OR (be=98)</v>
          </cell>
          <cell r="S4" t="str">
            <v>Condition 1.
INVALID YEAR. PLEASE CHECK
Condition 2.
INVALID MONTH. PLEASE CHECK</v>
          </cell>
          <cell r="T4" t="str">
            <v>LSMS 2015 (s1_firstmove)
LSMS 2015 (adapted from s1_firstmove)</v>
          </cell>
          <cell r="U4" t="str">
            <v>Adapt year "2023" to year where survey is applied</v>
          </cell>
          <cell r="W4" t="str">
            <v>Done</v>
          </cell>
        </row>
        <row r="5">
          <cell r="A5" t="str">
            <v>HH_00b</v>
          </cell>
          <cell r="B5">
            <v>2</v>
          </cell>
          <cell r="C5" t="str">
            <v>Other Modules</v>
          </cell>
          <cell r="D5" t="str">
            <v>HH Roster</v>
          </cell>
          <cell r="E5" t="str">
            <v>HH_time</v>
          </cell>
          <cell r="F5" t="str">
            <v>HH_00b</v>
          </cell>
          <cell r="G5">
            <v>1</v>
          </cell>
          <cell r="H5" t="str">
            <v>OI</v>
          </cell>
          <cell r="I5" t="str">
            <v>Could you tell me for approximately how long you have been living in [host country]?  Tell me in terms of years and months.</v>
          </cell>
          <cell r="J5" t="str">
            <v xml:space="preserve">If less than 1 year, write ‘0’ for the number of years and indicate the number of months. If less than 1 month, write ‘0’ for the number of months. </v>
          </cell>
          <cell r="K5" t="str">
            <v xml:space="preserve">Years: 
Months:  
Add don’t know 98 for months
Add don’t know 9998 for months
</v>
          </cell>
          <cell r="L5" t="str">
            <v>ADD HINT: 
If Years is unknown enter 998
If Month is unknown enter 98</v>
          </cell>
          <cell r="M5" t="str">
            <v>ADD MISSING VALUES
'Don't know' for years should be 998
'Don't know' for months should be 98</v>
          </cell>
          <cell r="N5" t="str">
            <v>Range</v>
          </cell>
          <cell r="O5" t="str">
            <v>Range</v>
          </cell>
          <cell r="R5" t="str">
            <v>Condition 1.
"Years" (should (be &gt;= 0 &amp; =&lt; 110) OR (be=998)
Condition 2.
"Months" (should be &gt;= 0 &amp; =&lt; 11) OR (be=98)</v>
          </cell>
          <cell r="S5" t="str">
            <v>Condition 1.
NUMBER OF YEARS SEEMS TOO HIGH. PLEASE CHECK 
Condition 2.
NUMBER OF MONTHS SHOULD BE BETWEEN 0 AND 11</v>
          </cell>
          <cell r="T5" t="str">
            <v xml:space="preserve">
LSMS 2015 (s1_hmthawy)</v>
          </cell>
          <cell r="V5" t="str">
            <v xml:space="preserve">LSMS 2015 asks for exact year of 1st move to HC. Assuming it should be between 1900 and 2015. I am considering 110 as a limit since it was used by LSMS 2015 for age in simple years. </v>
          </cell>
          <cell r="W5" t="str">
            <v>Done</v>
          </cell>
        </row>
        <row r="6">
          <cell r="A6" t="str">
            <v>HH_03</v>
          </cell>
          <cell r="B6">
            <v>3</v>
          </cell>
          <cell r="C6" t="str">
            <v>Other Modules</v>
          </cell>
          <cell r="D6" t="str">
            <v>HH Roster</v>
          </cell>
          <cell r="E6" t="str">
            <v>HH_rel</v>
          </cell>
          <cell r="F6" t="str">
            <v>HH_03</v>
          </cell>
          <cell r="G6">
            <v>1</v>
          </cell>
          <cell r="H6" t="str">
            <v>SS</v>
          </cell>
          <cell r="I6" t="str">
            <v>What is [NAME]'s relationship to [you/the household head’s name]?</v>
          </cell>
          <cell r="J6" t="str">
            <v>For the respondent, don’t ask this question, record directly.</v>
          </cell>
          <cell r="K6" t="str">
            <v xml:space="preserve">1. The household head himself/herself
2. Wife/Husband/Partner     
3. Biological child 
4. Step child/ Adopted child 
5. Grandchild
6. Niece/Nephew  
7. Mother/Father 
8. Sister/Brother 
9. Son/Daughter-in-law 
10. Brother/Sister-in-law 
11.Grandfather/mother 
12. Father/Mother-in-law 
13. Uncle/Aunt 
14. Cousin 
15. Travel companion/friend 
16. Servant or servant’s relative 
17. Lodger or lodger’s relative 
96. Other: specify </v>
          </cell>
          <cell r="N6" t="str">
            <v>Head of Household</v>
          </cell>
          <cell r="O6" t="str">
            <v>Head of household</v>
          </cell>
          <cell r="R6" t="str">
            <v>Conditoin 1.
There has to be at least one head of household 
Condition 2.
And maximum one head per household</v>
          </cell>
          <cell r="S6" t="str">
            <v>Condition 1 &amp; Condition 2.
THERE MUST BE ONLY ONE PERSON DESIGNATED AS HEAD OF HOUSEHOLD. PLEASE CHECK</v>
          </cell>
          <cell r="T6" t="str">
            <v>lsms 2015 and BISP 2018 (message adapted)</v>
          </cell>
          <cell r="W6" t="str">
            <v xml:space="preserve">Not possible at the moment </v>
          </cell>
        </row>
        <row r="7">
          <cell r="A7" t="str">
            <v>HH_04</v>
          </cell>
          <cell r="B7">
            <v>4</v>
          </cell>
          <cell r="C7" t="str">
            <v>Other Modules</v>
          </cell>
          <cell r="D7" t="str">
            <v>HH Roster</v>
          </cell>
          <cell r="E7" t="str">
            <v>HH_age</v>
          </cell>
          <cell r="F7" t="str">
            <v>HH_04</v>
          </cell>
          <cell r="G7">
            <v>1</v>
          </cell>
          <cell r="H7" t="str">
            <v>OI</v>
          </cell>
          <cell r="I7" t="str">
            <v>How old [are you/is NAME]? Please give the age in completed years.</v>
          </cell>
          <cell r="K7" t="str">
            <v>Age:   
988. Don’t know
Typo, should be 998 ant not 988</v>
          </cell>
          <cell r="L7" t="str">
            <v>CHANGE THE HINT: 
If Age unknown enter 998</v>
          </cell>
          <cell r="M7" t="str">
            <v>RECODE MISSING VALUES
Typo: For Don’t know, it should say 998 and not 988</v>
          </cell>
          <cell r="N7" t="str">
            <v>Range</v>
          </cell>
          <cell r="R7" t="str">
            <v>Condition 1.
Age should (be &gt;= 0 &amp; =&lt; 110) OR (be "998")</v>
          </cell>
          <cell r="S7" t="str">
            <v>PLEASE ENTER A VALID AGE TO CONTINUE</v>
          </cell>
          <cell r="T7" t="str">
            <v>LSMS Adj for validation
UGANDA- Imane (for message)</v>
          </cell>
          <cell r="W7" t="str">
            <v>Done</v>
          </cell>
        </row>
        <row r="8">
          <cell r="A8" t="str">
            <v>HH_05</v>
          </cell>
          <cell r="B8">
            <v>5</v>
          </cell>
          <cell r="C8" t="str">
            <v>Other Modules</v>
          </cell>
          <cell r="D8" t="str">
            <v>HH Roster</v>
          </cell>
          <cell r="E8" t="str">
            <v>HH_birth</v>
          </cell>
          <cell r="F8" t="str">
            <v>HH_05</v>
          </cell>
          <cell r="G8">
            <v>1</v>
          </cell>
          <cell r="H8" t="str">
            <v>OI</v>
          </cell>
          <cell r="I8" t="str">
            <v xml:space="preserve">In what year and month [were you/was NAME] born? </v>
          </cell>
          <cell r="J8" t="str">
            <v>If month and/or year is not known, record 98. It is fine to have only the year and ‘98’ for the month if the respondent doesn’t have precise information or doesn’t remember.</v>
          </cell>
          <cell r="K8" t="str">
            <v>Year: 
Month:  
98. Don’t know for months
9998 don’t know for years</v>
          </cell>
          <cell r="L8" t="str">
            <v xml:space="preserve">CHANGE THE HINT: 
If the year is unknown enter 9998
If the month is unknown enter 98
</v>
          </cell>
          <cell r="M8" t="str">
            <v>RECODE MISSING VALUES
'Don't know' for years should be 9998
'Don't know' for months should be 98</v>
          </cell>
          <cell r="N8" t="str">
            <v>Range</v>
          </cell>
          <cell r="O8" t="str">
            <v>Range</v>
          </cell>
          <cell r="R8" t="str">
            <v>Condition 1.
"Year" (should be &gt;= 1900 &amp; =&lt; 2026) OR (be=9998)
Condition 2.
"Month" (should be &gt;= 1 &amp; =&lt; 12) OR (be=98)</v>
          </cell>
          <cell r="S8" t="str">
            <v>Condition 1.
INVALID YEAR. PLEASE CHECK
Condition 2.
INVALID MONTH. PLEASE CHECK</v>
          </cell>
          <cell r="T8" t="str">
            <v>Condition 1.
LSMS 2015 (adapted from s1_firstmove)
Condition 2.
LSMS 2015 (adapted from s1_firstmove)</v>
          </cell>
          <cell r="U8" t="str">
            <v>Adapt year "2023" to year where survey is applied</v>
          </cell>
          <cell r="W8" t="str">
            <v>Done</v>
          </cell>
        </row>
        <row r="9">
          <cell r="A9" t="str">
            <v>HH_09</v>
          </cell>
          <cell r="B9">
            <v>6</v>
          </cell>
          <cell r="C9" t="str">
            <v>Other Modules</v>
          </cell>
          <cell r="D9" t="str">
            <v>HH Roster</v>
          </cell>
          <cell r="E9" t="str">
            <v>HH_age_mar</v>
          </cell>
          <cell r="F9" t="str">
            <v>HH_09</v>
          </cell>
          <cell r="G9">
            <v>1</v>
          </cell>
          <cell r="H9" t="str">
            <v>OI</v>
          </cell>
          <cell r="I9" t="str">
            <v xml:space="preserve">How old [were you/was NAME] when first married or formed a non-formal union? </v>
          </cell>
          <cell r="K9" t="str">
            <v>Age:   
98. Don’t know</v>
          </cell>
          <cell r="L9" t="str">
            <v>check THE HINT: 
If Age unknown enter 98</v>
          </cell>
          <cell r="M9" t="str">
            <v>CHECK MISSING VALUES
"Don’t know"should be 98</v>
          </cell>
          <cell r="N9" t="str">
            <v>Range</v>
          </cell>
          <cell r="R9" t="str">
            <v>Condition 1.
Age (should be &gt; =10 &amp; =&lt;90) OR (be = 98)</v>
          </cell>
          <cell r="S9" t="str">
            <v>Condition 1.
[NAME] SEEMS TOO YOUNG TO BE MARRIED. PLEASE CHECK</v>
          </cell>
          <cell r="T9" t="str">
            <v xml:space="preserve">
BISP 2018 ADJUSTED  </v>
          </cell>
          <cell r="V9" t="str">
            <v xml:space="preserve">Im following age reference from hh_civil to define 10 as inferior limit of range. </v>
          </cell>
          <cell r="W9" t="str">
            <v>Done</v>
          </cell>
        </row>
        <row r="10">
          <cell r="A10" t="str">
            <v>HH_11a</v>
          </cell>
          <cell r="B10">
            <v>7</v>
          </cell>
          <cell r="C10" t="str">
            <v>Other Modules</v>
          </cell>
          <cell r="D10" t="str">
            <v>HH Roster</v>
          </cell>
          <cell r="E10" t="str">
            <v>HH_absence</v>
          </cell>
          <cell r="F10" t="str">
            <v>HH_11a</v>
          </cell>
          <cell r="G10">
            <v>1</v>
          </cell>
          <cell r="H10" t="str">
            <v>OI</v>
          </cell>
          <cell r="I10" t="str">
            <v>For how many months [during the past 12 months/ since you/NAME arrived in (host country)] [have you/has NAME] been away from this household?</v>
          </cell>
          <cell r="J10" t="str">
            <v xml:space="preserve">If the respondent is answering in terms of number of days, then sum the days in months.  Record total months  If less than 1 month, write ‘0’. </v>
          </cell>
          <cell r="K10" t="str">
            <v xml:space="preserve">Nb of months: </v>
          </cell>
          <cell r="N10" t="str">
            <v>Range</v>
          </cell>
          <cell r="R10" t="str">
            <v xml:space="preserve">Condition 1.
Months (should be &gt;= 0 &amp; =&lt; 12) </v>
          </cell>
          <cell r="S10" t="str">
            <v>INVALID NUMBER OF MONTHS. PLEASE CHECK</v>
          </cell>
          <cell r="T10" t="str">
            <v>LSMS 2015 for validation. Message is different than theirs</v>
          </cell>
          <cell r="V10" t="str">
            <v>NOT PENDANT ANYMORE</v>
          </cell>
          <cell r="W10" t="str">
            <v>Done</v>
          </cell>
        </row>
        <row r="11">
          <cell r="A11" t="str">
            <v>HH_14</v>
          </cell>
          <cell r="B11">
            <v>8</v>
          </cell>
          <cell r="C11" t="str">
            <v>Other Modules</v>
          </cell>
          <cell r="D11" t="str">
            <v>HH Roster</v>
          </cell>
          <cell r="E11" t="str">
            <v>HH_cit</v>
          </cell>
          <cell r="F11" t="str">
            <v>HH_14</v>
          </cell>
          <cell r="G11">
            <v>1</v>
          </cell>
          <cell r="H11" t="str">
            <v>MS</v>
          </cell>
          <cell r="I11" t="str">
            <v>Of which country/countries [are you/is NAME] a citizen?</v>
          </cell>
          <cell r="J11" t="str">
            <v>We're missing an indication "Select all that apply"</v>
          </cell>
          <cell r="K11" t="str">
            <v>1. [host country] 
2. country of origin: specify 
3. other country, different than country of origin: specify 
4. stateless 
98. Don’t know 
99. Refuse to answer 
Codes should be in letters</v>
          </cell>
          <cell r="N11" t="str">
            <v>MS 
(If DK or RF are selected)</v>
          </cell>
          <cell r="R11" t="str">
            <v>Condition 1.
If 98 or 99 are selected, no other response should be selected at the same time.</v>
          </cell>
          <cell r="S11" t="str">
            <v>Conditon 1.
THE COMBINATION OF ANSWERS YOU HAVE CHOSEN IS NOT POSSIBLE. PLEASE CHECK</v>
          </cell>
          <cell r="T11" t="str">
            <v>Condition 1.
LSMS 2015 (Both for validation and message)</v>
          </cell>
          <cell r="W11" t="str">
            <v>NA</v>
          </cell>
        </row>
        <row r="12">
          <cell r="A12" t="str">
            <v>HH_Educ05</v>
          </cell>
          <cell r="B12">
            <v>10</v>
          </cell>
          <cell r="C12" t="str">
            <v>Other Modules</v>
          </cell>
          <cell r="D12" t="str">
            <v>HH Roster</v>
          </cell>
          <cell r="E12" t="str">
            <v>Educ_dec</v>
          </cell>
          <cell r="F12" t="str">
            <v>HH_Educ05</v>
          </cell>
          <cell r="G12">
            <v>3</v>
          </cell>
          <cell r="H12" t="str">
            <v>OI</v>
          </cell>
          <cell r="I12" t="str">
            <v>Please tell me who decides whether [you go/name goes] to school?</v>
          </cell>
          <cell r="J12" t="str">
            <v xml:space="preserve">Indicate the ID code of the household member(s) who decides/decide. Select all that apply. 
If the decision is taken by a non-member, indicate’00’. </v>
          </cell>
          <cell r="K12" t="str">
            <v>ID Codes from the household roster:    </v>
          </cell>
          <cell r="N12" t="str">
            <v>INTER-QUESTION 
within same module</v>
          </cell>
          <cell r="R12" t="str">
            <v xml:space="preserve">Condition 1.
Person who decides should be &gt;= 10 years old </v>
          </cell>
          <cell r="S12" t="str">
            <v>Condition 1.
PERSON WHO DECIDES SEEMS TOO YOUNG. PLEASE CHECK</v>
          </cell>
          <cell r="T12" t="str">
            <v>New</v>
          </cell>
          <cell r="W12" t="str">
            <v xml:space="preserve">Not possible at the moment </v>
          </cell>
        </row>
        <row r="13">
          <cell r="A13" t="str">
            <v>HH_Educ08a</v>
          </cell>
          <cell r="B13">
            <v>11</v>
          </cell>
          <cell r="C13" t="str">
            <v>Other Modules</v>
          </cell>
          <cell r="D13" t="str">
            <v>HH Roster</v>
          </cell>
          <cell r="E13" t="str">
            <v>Educ_stype2</v>
          </cell>
          <cell r="F13" t="str">
            <v>HH_Educ08a</v>
          </cell>
          <cell r="G13">
            <v>1</v>
          </cell>
          <cell r="H13" t="str">
            <v>MS</v>
          </cell>
          <cell r="I13" t="str">
            <v>What type of school did [you/name] attend?</v>
          </cell>
          <cell r="J13" t="str">
            <v>Mark all that apply</v>
          </cell>
          <cell r="K13" t="str">
            <v>A. Government or Public 
B. UN or NGO 
C. Religious or faith-based organization 
D. Community 
E. Private 
OT. Other: specify 
DK. Don’t know</v>
          </cell>
          <cell r="N13" t="str">
            <v>MS 
(If DK or RF are selected)</v>
          </cell>
          <cell r="R13" t="str">
            <v xml:space="preserve">Condition 1.
If "DK" is selected, then no other response should be selected at the same time
</v>
          </cell>
          <cell r="S13" t="str">
            <v xml:space="preserve">Conditon 1.
THE COMBINATION OF ANSWERS YOU HAVE CHOSEN IS NOT POSSIBLE. PLEASE CHECK
</v>
          </cell>
          <cell r="T13" t="str">
            <v xml:space="preserve">Condition 1.
LSMS 2015 (Both for validation and message)
</v>
          </cell>
          <cell r="W13" t="str">
            <v>Done</v>
          </cell>
        </row>
        <row r="14">
          <cell r="A14" t="str">
            <v>HH_Educ10</v>
          </cell>
          <cell r="B14">
            <v>12</v>
          </cell>
          <cell r="C14" t="str">
            <v>Other Modules</v>
          </cell>
          <cell r="D14" t="str">
            <v>HH Roster</v>
          </cell>
          <cell r="E14" t="str">
            <v>Educ_start_age</v>
          </cell>
          <cell r="F14" t="str">
            <v>HH_Educ10</v>
          </cell>
          <cell r="G14">
            <v>2</v>
          </cell>
          <cell r="H14" t="str">
            <v>OI</v>
          </cell>
          <cell r="I14" t="str">
            <v xml:space="preserve">At what age did [you/name] start to go to school? 
Please refer to only Formal School Education, which includes any organized form of teaching that is officially recognized.   
Do not include kindergarten  or preschool </v>
          </cell>
          <cell r="K14" t="str">
            <v xml:space="preserve">Age: 
Don’t Know 98
</v>
          </cell>
          <cell r="L14" t="str">
            <v>ADD HINT: 
If Age unknown enter 98</v>
          </cell>
          <cell r="M14" t="str">
            <v>ADD MISSING VALUES
"Don’t know"should be 98</v>
          </cell>
          <cell r="N14" t="str">
            <v>Range</v>
          </cell>
          <cell r="R14" t="str">
            <v>Condition 1.
Age (should be  &gt;=4 &amp; =&lt; 90) OR (be=98)</v>
          </cell>
          <cell r="S14" t="str">
            <v>Condition 1.
AGE SEEMS TOO LOW/HIGH. PLESE CHECK</v>
          </cell>
          <cell r="T14" t="str">
            <v>New</v>
          </cell>
          <cell r="V14" t="str">
            <v>NOT PENDANT ANYMORE
According to World Bank,  official age range is from 5 to 7. https://data.worldbank.org/indicator/SE.PRM.AGES
I consider a wider range, to allow cases where children start a year before official age, or a few years later, considering lack of access among PwS</v>
          </cell>
          <cell r="W14" t="str">
            <v>Done</v>
          </cell>
        </row>
        <row r="15">
          <cell r="A15" t="str">
            <v>HH_Educ12</v>
          </cell>
          <cell r="B15">
            <v>13</v>
          </cell>
          <cell r="C15" t="str">
            <v>Other Modules</v>
          </cell>
          <cell r="D15" t="str">
            <v>HH Roster</v>
          </cell>
          <cell r="E15" t="str">
            <v>Educ_cotherw</v>
          </cell>
          <cell r="F15" t="str">
            <v>HH_Educ12</v>
          </cell>
          <cell r="G15">
            <v>3</v>
          </cell>
          <cell r="H15" t="str">
            <v>MS</v>
          </cell>
          <cell r="I15" t="str">
            <v xml:space="preserve">In which country/countries, other than [host country],   [have you/has name] attended school?   </v>
          </cell>
          <cell r="J15" t="str">
            <v>Mark all that apply</v>
          </cell>
          <cell r="K15" t="str">
            <v>A.In [country of origin]   
B.In another country different than [country of origin]: specify   
98. Don’t know   
99. Refuse to answer
Change code 98 to DK and  code 99 to RF</v>
          </cell>
          <cell r="N15" t="str">
            <v>MS 
(If DK or RF are selected)</v>
          </cell>
          <cell r="R15" t="str">
            <v xml:space="preserve">Condition 1.
If 98 OR 99 are selected, then no other response should be selected at the same time
</v>
          </cell>
          <cell r="S15" t="str">
            <v>Conditon 1.
THE COMBINATION OF ANSWERS YOU HAVE CHOSEN IS NOT POSSIBLE. PLEASE CHECK</v>
          </cell>
          <cell r="T15" t="str">
            <v xml:space="preserve">Condition 1.
LSMS 2015 (Both for validation and message)
</v>
          </cell>
          <cell r="W15" t="str">
            <v>Done</v>
          </cell>
        </row>
        <row r="16">
          <cell r="A16" t="str">
            <v>HH_Educ13</v>
          </cell>
          <cell r="B16">
            <v>14</v>
          </cell>
          <cell r="C16" t="str">
            <v>Other Modules</v>
          </cell>
          <cell r="D16" t="str">
            <v>HH Roster</v>
          </cell>
          <cell r="E16" t="str">
            <v>Educ_where</v>
          </cell>
          <cell r="F16" t="str">
            <v>HH_Educ13</v>
          </cell>
          <cell r="G16">
            <v>2</v>
          </cell>
          <cell r="H16" t="str">
            <v>MS</v>
          </cell>
          <cell r="I16" t="str">
            <v xml:space="preserve">In which country did [you/name] go to school? In [country of origin], [host country], or some other country?   </v>
          </cell>
          <cell r="J16" t="str">
            <v>Mark all that apply</v>
          </cell>
          <cell r="K16" t="str">
            <v>A.In [host country]   
B.In [country of origin]   
C.In another country different than [country of origin]: specify   
98. Don’t know   
99. Refuse to answer
Change code 98 to DK and  code 99 to RF</v>
          </cell>
          <cell r="N16" t="str">
            <v>MS 
(If DK or RF are selected)</v>
          </cell>
          <cell r="R16" t="str">
            <v>Condition 1.
If 98 OR 99 are selected, then no other response should be selected at the same time
Condition 2.
If neither 98 NOR 99 are selected, number of selected responses should be &gt;=1 &amp; =&lt; 3</v>
          </cell>
          <cell r="S16" t="str">
            <v>Conditon 1.
THE COMBINATION OF ANSWERS YOU HAVE CHOSEN IS NOT POSSIBLE. PLEASE CHECK
Condition 2.
INVALID COMBINATION OF ANSWERS.</v>
          </cell>
          <cell r="T16" t="str">
            <v xml:space="preserve">Condition 1.
LSMS 2015 (Both for validation and message)
</v>
          </cell>
          <cell r="W16" t="str">
            <v>Done</v>
          </cell>
        </row>
        <row r="17">
          <cell r="A17" t="str">
            <v>HH_Educ18</v>
          </cell>
          <cell r="B17">
            <v>15</v>
          </cell>
          <cell r="C17" t="str">
            <v>Other Modules</v>
          </cell>
          <cell r="D17" t="str">
            <v>HH Roster</v>
          </cell>
          <cell r="E17" t="str">
            <v>Educ_year_c</v>
          </cell>
          <cell r="F17" t="str">
            <v>HH_Educ18</v>
          </cell>
          <cell r="G17">
            <v>1</v>
          </cell>
          <cell r="H17" t="str">
            <v>SS</v>
          </cell>
          <cell r="I17" t="str">
            <v xml:space="preserve">What is the highest [grade / year] of formal education that [you have/name has] completed?   </v>
          </cell>
          <cell r="K17" t="str">
            <v>List of all possible grades – The list must be adapted to the national education system of the country where the household member completed her/his highest level of formal education.</v>
          </cell>
          <cell r="N17" t="str">
            <v>INTER-QUESTION 
within same module</v>
          </cell>
          <cell r="R17" t="str">
            <v xml:space="preserve">Condition 1.
A person can't be younger than 15 years old and have a complete or incomplete terciary education </v>
          </cell>
          <cell r="S17" t="str">
            <v>Condition 1.
A PERSON YOUNGER THAN 15 CAN NOT HAVE COMPLETED A YEAR OR MORE OF TERCIARY EDUCATION. PLEASE CHECK</v>
          </cell>
          <cell r="T17" t="str">
            <v>lsms 2015 adjusted</v>
          </cell>
          <cell r="U17" t="str">
            <v>country-tailored</v>
          </cell>
          <cell r="V17" t="str">
            <v>lsms considers 18 as the age limit. This limit has been lowered to allow cases of individuals who finished formal education at 15</v>
          </cell>
          <cell r="W17" t="str">
            <v xml:space="preserve">Not possible at the moment </v>
          </cell>
        </row>
        <row r="18">
          <cell r="A18" t="str">
            <v>HH_Educ20</v>
          </cell>
          <cell r="B18">
            <v>16</v>
          </cell>
          <cell r="C18" t="str">
            <v>Other Modules</v>
          </cell>
          <cell r="D18" t="str">
            <v>HH Roster</v>
          </cell>
          <cell r="E18" t="str">
            <v>Educ_FS_Who</v>
          </cell>
          <cell r="F18" t="str">
            <v>HH_Educ20</v>
          </cell>
          <cell r="G18">
            <v>2</v>
          </cell>
          <cell r="H18" t="str">
            <v>MS</v>
          </cell>
          <cell r="I18" t="str">
            <v xml:space="preserve">Who provided the tuition support?      </v>
          </cell>
          <cell r="J18" t="str">
            <v xml:space="preserve">Record all mentioned.   </v>
          </cell>
          <cell r="K18" t="str">
            <v>A. Government/ Public   
B. Religious/ Faith Org. 
C. Private.  
96. Other: specify   
98. Don’t know
Change code 96 to OT and code 98 to DK</v>
          </cell>
          <cell r="N18" t="str">
            <v>MS 
(If DK or RF are selected)</v>
          </cell>
          <cell r="R18" t="str">
            <v>Condition 1.
If 98 is selected, no other response should be selected at the same time.</v>
          </cell>
          <cell r="S18" t="str">
            <v>Conditon 1.
THE COMBINATION OF ANSWERS YOU HAVE CHOSEN IS NOT POSSIBLE. PLEASE CHECK</v>
          </cell>
          <cell r="T18" t="str">
            <v>Condition 1.
LSMS 2015 (Both for validation and message)</v>
          </cell>
          <cell r="W18" t="str">
            <v>Done</v>
          </cell>
        </row>
        <row r="19">
          <cell r="A19" t="str">
            <v>HH_28</v>
          </cell>
          <cell r="B19">
            <v>17</v>
          </cell>
          <cell r="C19" t="str">
            <v>Other Modules</v>
          </cell>
          <cell r="D19" t="str">
            <v>HH Roster</v>
          </cell>
          <cell r="E19" t="str">
            <v>GiveBirth_nb</v>
          </cell>
          <cell r="F19" t="str">
            <v>HH_28</v>
          </cell>
          <cell r="G19">
            <v>1</v>
          </cell>
          <cell r="H19" t="str">
            <v>OI</v>
          </cell>
          <cell r="I19" t="str">
            <v>To how many children born alive did [you/NAME] give birth in the past 2 years?</v>
          </cell>
          <cell r="K19" t="str">
            <v>Nb of children:
ADD A REFUSE 99</v>
          </cell>
          <cell r="N19" t="str">
            <v>Range</v>
          </cell>
          <cell r="R19" t="str">
            <v>Condition 1.
Number should (be &gt; 0 &amp; =&lt;5) or (BE=99)</v>
          </cell>
          <cell r="S19" t="str">
            <v>Condition 1.
NUMBER OF BIRTHS SEEMS TOO LOW/HIGH. PLEASE CHECK.</v>
          </cell>
          <cell r="T19" t="str">
            <v>New</v>
          </cell>
          <cell r="U19" t="str">
            <v>Range considers the posibility of multiple births</v>
          </cell>
          <cell r="V19" t="str">
            <v>NOT PENDANT ANYMORE</v>
          </cell>
          <cell r="W19" t="str">
            <v>Done</v>
          </cell>
        </row>
        <row r="20">
          <cell r="A20" t="str">
            <v>HH_31b</v>
          </cell>
          <cell r="B20">
            <v>18</v>
          </cell>
          <cell r="C20" t="str">
            <v>Other Modules</v>
          </cell>
          <cell r="D20" t="str">
            <v>Banking for roster</v>
          </cell>
          <cell r="E20" t="str">
            <v>Bank_all_b</v>
          </cell>
          <cell r="F20" t="str">
            <v>HH_31b</v>
          </cell>
          <cell r="G20">
            <v>1</v>
          </cell>
          <cell r="H20" t="str">
            <v>OI</v>
          </cell>
          <cell r="I20" t="str">
            <v>Please tell me the names of all household members  older than 15 who currently have an account at a bank or another type of formal financial institution in [host country]?</v>
          </cell>
          <cell r="K20" t="str">
            <v>ID codes:</v>
          </cell>
          <cell r="N20" t="str">
            <v>INTER-QUESTION 
within same module</v>
          </cell>
          <cell r="R20" t="str">
            <v>Condition 1.
[NAME]'s age should be &gt; 15</v>
          </cell>
          <cell r="S20" t="str">
            <v>Condition 1.
[NAME] SEEMS TOO YOUNG TO HAVE A BANK ACCOUNT. PLEASE CHECK</v>
          </cell>
          <cell r="T20" t="str">
            <v xml:space="preserve">New </v>
          </cell>
          <cell r="W20" t="str">
            <v xml:space="preserve">Not possible at the moment </v>
          </cell>
        </row>
        <row r="21">
          <cell r="A21" t="str">
            <v>HH_31d</v>
          </cell>
          <cell r="B21">
            <v>19</v>
          </cell>
          <cell r="C21" t="str">
            <v>Other Modules</v>
          </cell>
          <cell r="D21" t="str">
            <v>Banking for roster</v>
          </cell>
          <cell r="E21" t="str">
            <v>Bank_all_d</v>
          </cell>
          <cell r="F21" t="str">
            <v>HH_31d</v>
          </cell>
          <cell r="G21">
            <v>1</v>
          </cell>
          <cell r="H21" t="str">
            <v>OI</v>
          </cell>
          <cell r="I21" t="str">
            <v xml:space="preserve">Please tell me the names of all household members  older than 15 who currently have a/an [insert local terminology for ATM/debit card] in [host country]. </v>
          </cell>
          <cell r="K21" t="str">
            <v>ID codes:</v>
          </cell>
          <cell r="N21" t="str">
            <v>INTER-QUESTION 
within same module</v>
          </cell>
          <cell r="R21" t="str">
            <v xml:space="preserve">Condition 1.
[NAME]'s age should be &gt; 15 </v>
          </cell>
          <cell r="S21" t="str">
            <v>Condition 1.
[NAME] SEEMS TOO YOUNG TO HAVE A [LOCAL TERMINOLOGY FOR ATM/DEBET CARD]. PLEASE CHECK</v>
          </cell>
          <cell r="T21" t="str">
            <v xml:space="preserve">New </v>
          </cell>
          <cell r="W21" t="str">
            <v xml:space="preserve">Not possible at the moment </v>
          </cell>
        </row>
        <row r="22">
          <cell r="A22" t="str">
            <v>Dis_02</v>
          </cell>
          <cell r="C22" t="str">
            <v>HoH</v>
          </cell>
          <cell r="D22" t="str">
            <v>Discrimination</v>
          </cell>
          <cell r="F22" t="str">
            <v>Dis_02</v>
          </cell>
          <cell r="N22" t="str">
            <v>INTER-QUESTION between modules</v>
          </cell>
          <cell r="R22" t="str">
            <v>Condition 1.
[NAME]'s age should be &gt; 5</v>
          </cell>
          <cell r="S22" t="str">
            <v>Condition 1.
[NAME] SEEMS TOO YOUNG. PLEASE CONSIDER ONLY MEMBERS OLDER THAN 5.</v>
          </cell>
        </row>
        <row r="23">
          <cell r="A23" t="str">
            <v>Dis_05</v>
          </cell>
          <cell r="C23" t="str">
            <v>HoH</v>
          </cell>
          <cell r="D23" t="str">
            <v>Discrimination</v>
          </cell>
          <cell r="F23" t="str">
            <v>Dis_05</v>
          </cell>
          <cell r="N23" t="str">
            <v>INTER-QUESTION between modules</v>
          </cell>
          <cell r="R23" t="str">
            <v>Condition 1.
[NAME]'s age should be &gt; 5</v>
          </cell>
          <cell r="S23" t="str">
            <v>Condition 1.
[NAME] SEEMS TOO YOUNG. PLEASE CONSIDER ONLY MEMBERS OLDER THAN 5.</v>
          </cell>
        </row>
        <row r="24">
          <cell r="A24" t="str">
            <v>Dis_08</v>
          </cell>
          <cell r="C24" t="str">
            <v>HoH</v>
          </cell>
          <cell r="D24" t="str">
            <v>Discrimination</v>
          </cell>
          <cell r="F24" t="str">
            <v>Dis_08</v>
          </cell>
          <cell r="N24" t="str">
            <v>INTER-QUESTION between modules</v>
          </cell>
          <cell r="R24" t="str">
            <v>Condition 1.
[NAME]'s age should be &gt; 5</v>
          </cell>
          <cell r="S24" t="str">
            <v>Condition 1.
[NAME] SEEMS TOO YOUNG. PLEASE CONSIDER ONLY MEMBERS OLDER THAN 5.</v>
          </cell>
        </row>
        <row r="25">
          <cell r="A25" t="str">
            <v>Dis_11</v>
          </cell>
          <cell r="C25" t="str">
            <v>HoH</v>
          </cell>
          <cell r="D25" t="str">
            <v>Discrimination</v>
          </cell>
          <cell r="F25" t="str">
            <v>Dis_11</v>
          </cell>
          <cell r="N25" t="str">
            <v>INTER-QUESTION between modules</v>
          </cell>
          <cell r="R25" t="str">
            <v>Condition 1.
[NAME]'s age should be &gt; 5</v>
          </cell>
          <cell r="S25" t="str">
            <v>Condition 1.
[NAME] SEEMS TOO YOUNG. PLEASE CONSIDER ONLY MEMBERS OLDER THAN 5.</v>
          </cell>
        </row>
        <row r="26">
          <cell r="A26" t="str">
            <v>Dis_14</v>
          </cell>
          <cell r="C26" t="str">
            <v>HoH</v>
          </cell>
          <cell r="D26" t="str">
            <v>Discrimination</v>
          </cell>
          <cell r="F26" t="str">
            <v>Dis_14</v>
          </cell>
          <cell r="N26" t="str">
            <v>INTER-QUESTION between modules</v>
          </cell>
          <cell r="R26" t="str">
            <v>Condition 1.
[NAME]'s age should be &gt; 5</v>
          </cell>
          <cell r="S26" t="str">
            <v>Condition 1.
[NAME] SEEMS TOO YOUNG. PLEASE CONSIDER ONLY MEMBERS OLDER THAN 5.</v>
          </cell>
        </row>
        <row r="27">
          <cell r="A27" t="str">
            <v>Dis_17</v>
          </cell>
          <cell r="C27" t="str">
            <v>HoH</v>
          </cell>
          <cell r="D27" t="str">
            <v>Discrimination</v>
          </cell>
          <cell r="F27" t="str">
            <v>Dis_17</v>
          </cell>
          <cell r="N27" t="str">
            <v>INTER-QUESTION between modules</v>
          </cell>
          <cell r="R27" t="str">
            <v>Condition 1.
[NAME]'s age should be &gt; 5</v>
          </cell>
          <cell r="S27" t="str">
            <v>Condition 1.
[NAME] SEEMS TOO YOUNG. PLEASE CONSIDER ONLY MEMBERS OLDER THAN 5.</v>
          </cell>
        </row>
        <row r="28">
          <cell r="A28" t="str">
            <v>Legal_01</v>
          </cell>
          <cell r="B28">
            <v>20</v>
          </cell>
          <cell r="C28" t="str">
            <v>Other Modules</v>
          </cell>
          <cell r="D28" t="str">
            <v>Legal Status 2</v>
          </cell>
          <cell r="E28" t="str">
            <v xml:space="preserve">Legal_b_hh </v>
          </cell>
          <cell r="F28" t="str">
            <v>Legal_01</v>
          </cell>
          <cell r="G28">
            <v>1</v>
          </cell>
          <cell r="H28" t="str">
            <v>MS</v>
          </cell>
          <cell r="I28" t="str">
            <v xml:space="preserve">What is the legal basis of your stay in [host country]? </v>
          </cell>
          <cell r="J28" t="str">
            <v>We're missing an indication for Interviewer (Mark all that apply)</v>
          </cell>
          <cell r="K28"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8" t="str">
            <v>MS 
(If DK or RF are selected)</v>
          </cell>
          <cell r="R28" t="str">
            <v xml:space="preserve">Condition 1.
If 98 OR 99 are selected, then no other response should be selected at the same time
</v>
          </cell>
          <cell r="S28" t="str">
            <v>Conditon 1.
THE COMBINATION OF ANSWERS YOU HAVE CHOSEN IS NOT POSSIBLE. PLEASE CHECK</v>
          </cell>
          <cell r="T28" t="str">
            <v xml:space="preserve">Condition 1.
LSMS 2015 (Both for validation and message)
</v>
          </cell>
        </row>
        <row r="29">
          <cell r="A29" t="str">
            <v>Legal_04a</v>
          </cell>
          <cell r="B29">
            <v>21</v>
          </cell>
          <cell r="C29" t="str">
            <v>Other Modules</v>
          </cell>
          <cell r="D29" t="str">
            <v>Legal Status 2</v>
          </cell>
          <cell r="E29" t="str">
            <v>Legal_b_other</v>
          </cell>
          <cell r="F29" t="str">
            <v>Legal_04a</v>
          </cell>
          <cell r="G29">
            <v>1</v>
          </cell>
          <cell r="H29" t="str">
            <v>MS</v>
          </cell>
          <cell r="I29" t="str">
            <v xml:space="preserve">What is the legal status of the members of your household who have a different status than yours ?   Please mention all types of legal status present in your household. </v>
          </cell>
          <cell r="J29" t="str">
            <v>Mark all that apply</v>
          </cell>
          <cell r="K29" t="str">
            <v>Codes should be changed to letters
1. No legal basis 
2. Tourist visa  
3. Student visa  
4. Work visa  
5. Humanitarian visa 
6. Regional free movement agreement (e.g. Mercosur, EU)  
7. Permanent resident  
8. Asylum applicant  
9. Recognized refugee 
10. Recognized stateless person 
11. Complementary and subsidiary protection 
12. Temporary protection
13. Refugee background 
96. Other: specify  
98. Don’t know 
99. Prefer not to say</v>
          </cell>
          <cell r="N29" t="str">
            <v>MS 
(If DK or RF are selected)</v>
          </cell>
          <cell r="R29" t="str">
            <v>Condition 1.
If 98 OR 99 are selected, then no other response should be selected at the same time\</v>
          </cell>
          <cell r="S29" t="str">
            <v>Conditon 1.
THE COMBINATION OF ANSWERS YOU HAVE CHOSEN IS NOT POSSIBLE. PLEASE CHECK</v>
          </cell>
          <cell r="T29" t="str">
            <v xml:space="preserve">Condition 1.
LSMS 2015 (Both for validation and message)
</v>
          </cell>
        </row>
        <row r="30">
          <cell r="A30" t="str">
            <v>Legal_04b</v>
          </cell>
          <cell r="B30">
            <v>22</v>
          </cell>
          <cell r="C30" t="str">
            <v>Other Modules</v>
          </cell>
          <cell r="D30" t="str">
            <v>Legal Status 2</v>
          </cell>
          <cell r="E30" t="str">
            <v>Legal_b_asyl</v>
          </cell>
          <cell r="F30" t="str">
            <v>Legal_04b</v>
          </cell>
          <cell r="G30">
            <v>1</v>
          </cell>
          <cell r="H30" t="str">
            <v>OI</v>
          </cell>
          <cell r="I30" t="str">
            <v>Please tell me the names of all household members who are asylum applicant.</v>
          </cell>
          <cell r="K30" t="str">
            <v>ID codes:</v>
          </cell>
          <cell r="V30" t="str">
            <v>I am assuming that a person can have more than one bases of legal status in [host country]. Therefore I am not adding a validation here ("this values should be different than Legal_b_ID")
Ask Imane and Andrej</v>
          </cell>
          <cell r="W30" t="str">
            <v>NA</v>
          </cell>
        </row>
        <row r="31">
          <cell r="A31" t="str">
            <v>Legal_04c</v>
          </cell>
          <cell r="B31">
            <v>23</v>
          </cell>
          <cell r="C31" t="str">
            <v>Other Modules</v>
          </cell>
          <cell r="D31" t="str">
            <v>Legal Status 2</v>
          </cell>
          <cell r="E31" t="str">
            <v>Legal_b_ref</v>
          </cell>
          <cell r="F31" t="str">
            <v>Legal_04c</v>
          </cell>
          <cell r="G31">
            <v>1</v>
          </cell>
          <cell r="H31" t="str">
            <v>OI</v>
          </cell>
          <cell r="I31" t="str">
            <v>Please tell me the names of all household members who are recognized refugees.</v>
          </cell>
          <cell r="K31" t="str">
            <v>ID codes:</v>
          </cell>
          <cell r="R31" t="str">
            <v>Id codes should be different than in  legal_b_asyl</v>
          </cell>
          <cell r="S31" t="str">
            <v>YOU SAID "NAME" IS AN ASYLUM APPLICANT. PLEASE CHECK</v>
          </cell>
          <cell r="T31" t="str">
            <v>New</v>
          </cell>
          <cell r="V31" t="str">
            <v>Ask Imane. 'Asylum applicant' and 'recognized refugee' are excluding categores?\</v>
          </cell>
          <cell r="W31" t="str">
            <v>NA</v>
          </cell>
        </row>
        <row r="32">
          <cell r="A32" t="str">
            <v>Legal_07</v>
          </cell>
          <cell r="B32">
            <v>24</v>
          </cell>
          <cell r="C32" t="str">
            <v>Other Modules</v>
          </cell>
          <cell r="D32" t="str">
            <v>Legal Status 2</v>
          </cell>
          <cell r="E32" t="str">
            <v>Reg_hh_why</v>
          </cell>
          <cell r="F32" t="str">
            <v>Legal_07</v>
          </cell>
          <cell r="G32">
            <v>1</v>
          </cell>
          <cell r="H32" t="str">
            <v>MS</v>
          </cell>
          <cell r="I32" t="str">
            <v xml:space="preserve">What are the main reasons why you are not registered?  Please give us up to 3 reasons. </v>
          </cell>
          <cell r="J32" t="str">
            <v xml:space="preserve">Record up to 3 reasons. </v>
          </cell>
          <cell r="K32" t="str">
            <v>A. Unaware of the process 
B. Cost, distance or difficulty of reaching the registration centres 
C. Do not trust data will be kept confidential 
D. See no benefit in registration 
E. Not eligible 
F. Registration expired 
G. Tried to register but never receive d documents 
H. Fear of deportation 
OT. Other: specify 
DK. Don’t know 
RF. Refuse to answer</v>
          </cell>
          <cell r="N32" t="str">
            <v>MS 
(If DK or RF are selected)</v>
          </cell>
          <cell r="O32" t="str">
            <v>MS 
(up to 3 responses)</v>
          </cell>
          <cell r="R32" t="str">
            <v>Condition 1.
If "DK" OR "RF" are selected, then no other response should be selected at the same time
Condition 2.
If neither "DK" NOR "RF" are selected, number of selected responses should be &gt;=1 &amp; =&lt; 3</v>
          </cell>
          <cell r="S32" t="str">
            <v>Conditon 1.
THE COMBINATION OF ANSWERS YOU HAVE CHOSEN IS NOT POSSIBLE. PLEASE CHECK
Condition 2.
YOU CAN ONLY SELECT UP TO 3 RESPONSES. PLEASE CHECK</v>
          </cell>
          <cell r="T32" t="str">
            <v>Condition 1.
LSMS 2015 (Both for validation and message)
Condition 2.
New</v>
          </cell>
          <cell r="W32" t="str">
            <v>Done</v>
          </cell>
        </row>
        <row r="33">
          <cell r="A33" t="str">
            <v>Legal_08c</v>
          </cell>
          <cell r="B33">
            <v>25</v>
          </cell>
          <cell r="C33" t="str">
            <v>Other Modules</v>
          </cell>
          <cell r="D33" t="str">
            <v>Legal Status 2</v>
          </cell>
          <cell r="E33" t="str">
            <v>Reg_all_whom</v>
          </cell>
          <cell r="F33" t="str">
            <v>Legal_08c</v>
          </cell>
          <cell r="G33">
            <v>1</v>
          </cell>
          <cell r="H33" t="str">
            <v>MS
Don’t think this is a MS question, but SS</v>
          </cell>
          <cell r="I33" t="str">
            <v>With whom are these household members  registered? The UNHCR, the  [host country] government or both. </v>
          </cell>
          <cell r="K33" t="str">
            <v>A. the UNHCR 
B. the [host country] government 
C. both 
DK. Don’t know 
RF. Refuse to answer</v>
          </cell>
          <cell r="R33" t="str">
            <v>No validation needed</v>
          </cell>
          <cell r="W33" t="str">
            <v>Done</v>
          </cell>
        </row>
        <row r="34">
          <cell r="A34" t="str">
            <v>Legal_09</v>
          </cell>
          <cell r="B34">
            <v>26</v>
          </cell>
          <cell r="C34" t="str">
            <v>Other Modules</v>
          </cell>
          <cell r="D34" t="str">
            <v>Legal Status 2</v>
          </cell>
          <cell r="E34" t="str">
            <v>Reg_all_why</v>
          </cell>
          <cell r="F34" t="str">
            <v>Legal_09</v>
          </cell>
          <cell r="G34">
            <v>1</v>
          </cell>
          <cell r="H34" t="str">
            <v>MS</v>
          </cell>
          <cell r="I34" t="str">
            <v xml:space="preserve">What are the main reasons why [some of/all] your household members are not registered?  Please give us up to 3 reasons. </v>
          </cell>
          <cell r="J34" t="str">
            <v>Record up to 3 reasons.</v>
          </cell>
          <cell r="K34" t="str">
            <v>A. Unaware of the process 
B. Cost, distance or difficulty of reaching the registration centres 
C. Do not trust data will be kept confidential 
D. See no benefit in registration 
E. Not eligible 
F. Registration expired 
G. Tried to register but never received documents 
H. Fear of deportation 
OT. Other: specify 
DK. Don’t know 
RF. Refuse to answer</v>
          </cell>
          <cell r="N34" t="str">
            <v>MS 
(If DK or RF are selected)</v>
          </cell>
          <cell r="O34" t="str">
            <v>MS 
(up to 3 responses)</v>
          </cell>
          <cell r="R34" t="str">
            <v>Condition 1.
If "DK" OR "RF" are selected, then no other response should be selected at the same time
Condition 2.
If neither "DK" NOR "RF" are selected, number of selected responses should be &gt;=1 &amp; =&lt; 3</v>
          </cell>
          <cell r="S34" t="str">
            <v>Conditon 1.
THE COMBINATION OF ANSWERS YOU HAVE CHOSEN IS NOT POSSIBLE. PLEASE CHECK
Condition 2.
YOU CAN ONLY SELECT UP TO 3 RESPONSES. PLEASE CHECK</v>
          </cell>
          <cell r="T34" t="str">
            <v>Condition 1.
LSMS 2015 (Both for validation and message)
Condition 2.
New</v>
          </cell>
          <cell r="W34" t="str">
            <v>Done</v>
          </cell>
        </row>
        <row r="35">
          <cell r="A35" t="str">
            <v>DH_01</v>
          </cell>
          <cell r="B35">
            <v>27</v>
          </cell>
          <cell r="C35" t="str">
            <v>Other Modules</v>
          </cell>
          <cell r="D35" t="str">
            <v>Displacement History Ref-Asyl</v>
          </cell>
          <cell r="E35" t="str">
            <v>Host_when</v>
          </cell>
          <cell r="F35" t="str">
            <v>DH_01</v>
          </cell>
          <cell r="G35">
            <v>1</v>
          </cell>
          <cell r="H35" t="str">
            <v>OI</v>
          </cell>
          <cell r="I35" t="str">
            <v xml:space="preserve">When did you arrive in [host country] for the first time?  
Please give the year and the month.     </v>
          </cell>
          <cell r="K35" t="str">
            <v>Year:  
98. Don’t know
Month:    
98. Don’t know
Change 98 to 9998 in 'Year"</v>
          </cell>
          <cell r="L35" t="str">
            <v xml:space="preserve">CHANGE THE HINT: 
If the year is unknown enter 9998
If the month is unknown enter 98
</v>
          </cell>
          <cell r="M35" t="str">
            <v>RECODE MISSING VALUES
'Don't know' for years should be 9998
'Don't know' for months should be 98</v>
          </cell>
          <cell r="N35" t="str">
            <v>Range</v>
          </cell>
          <cell r="O35" t="str">
            <v>Range</v>
          </cell>
          <cell r="R35" t="str">
            <v>Condition 1.
"Year" (should be &gt;= 1900 &amp; =&lt; 2026) OR (be=9998)
Condition 2.
"Month" (should be &gt;= 1 &amp; =&lt; 12) OR (be=98)</v>
          </cell>
          <cell r="S35" t="str">
            <v>Condition 1.
INVALID YEAR. PLEASE CHECK
Condition 2.
INVALID MONTH. PLEASE CHECK</v>
          </cell>
          <cell r="T35" t="str">
            <v>Condition 1.
LSMS 2015 (s1_firstmove)
Condition 2.
LSMS 2015 (adapted from s1_firstmove)</v>
          </cell>
          <cell r="U35" t="str">
            <v>Change "2023" on validation for current year of survey</v>
          </cell>
          <cell r="W35" t="str">
            <v>Done</v>
          </cell>
        </row>
        <row r="36">
          <cell r="A36" t="str">
            <v>DH_05</v>
          </cell>
          <cell r="B36">
            <v>28</v>
          </cell>
          <cell r="C36" t="str">
            <v>Other Modules</v>
          </cell>
          <cell r="D36" t="str">
            <v>Displacement History Ref-Asyl</v>
          </cell>
          <cell r="E36" t="str">
            <v>Host_b_when</v>
          </cell>
          <cell r="F36" t="str">
            <v>DH_05</v>
          </cell>
          <cell r="G36">
            <v>2</v>
          </cell>
          <cell r="H36" t="str">
            <v>OI</v>
          </cell>
          <cell r="I36" t="str">
            <v xml:space="preserve">If several household members arrived in [host country] before you, please refer to the member who arrived in [host country] first.
To the best of your knowledge, when did this person arrive in [host country]?   Please give the year and the month. </v>
          </cell>
          <cell r="K36" t="str">
            <v>Year:  
98. Don’t know
Change 98 to 9998 in 'Year"
Month:    
98. Don’t know</v>
          </cell>
          <cell r="L36" t="str">
            <v xml:space="preserve">CHANGE THE HINT: 
If the year is unknown enter 9998
If the month is unknown enter 98
</v>
          </cell>
          <cell r="M36" t="str">
            <v>RECODE MISSING VALUES
'Don't know' for years should be 9998
'Don't know' for months should be 98</v>
          </cell>
          <cell r="N36" t="str">
            <v>Range</v>
          </cell>
          <cell r="O36" t="str">
            <v>Range</v>
          </cell>
          <cell r="P36" t="str">
            <v xml:space="preserve">INTER-QUESTION </v>
          </cell>
          <cell r="R36" t="str">
            <v>Condition 1.
"Year" (should be &gt;= 1900 &amp; =&lt;  2026) OR (be=9998)
Condition 2.
"Month" (should be &gt;= 1 &amp; =&lt;  12) OR (be=98)
Condition 3.
This date in Host_b_when should be BEFORE the date specified in hh_date (when interviewee arrived to HC) from Roster</v>
          </cell>
          <cell r="S36" t="str">
            <v xml:space="preserve">Condition 1.
INVALID YEAR. PLEASE CHECK
Condition 2.
INVALID MONTH. PLEASE CHECK
Condition 3.
THIS DATE SHOULD BE BEFORE THE DATE THE INTERVIEWEE ARRIVED TO [HOST COUNTRY], SPECIFIED IN ROSTER. PLEASE CHECK
</v>
          </cell>
          <cell r="T36" t="str">
            <v>Condition 1.
LSMS 2015 (s1_firstmove)
Condition 2.
LSMS 2015 (adapted from s1_firstmove)
Condition 3.
New</v>
          </cell>
          <cell r="U36" t="str">
            <v>Change "2023" on validation for current year of survey</v>
          </cell>
          <cell r="V36" t="str">
            <v>NOT PENDANT ANYMORE. 
Condition 3 was identified as priority for inter-question validations</v>
          </cell>
          <cell r="W36" t="str">
            <v>NA</v>
          </cell>
        </row>
        <row r="37">
          <cell r="A37" t="str">
            <v>DH_11</v>
          </cell>
          <cell r="B37">
            <v>30</v>
          </cell>
          <cell r="C37" t="str">
            <v>Other Modules</v>
          </cell>
          <cell r="D37" t="str">
            <v>Displacement History Ref-Asyl</v>
          </cell>
          <cell r="E37" t="str">
            <v>FD_when</v>
          </cell>
          <cell r="F37" t="str">
            <v>DH_11</v>
          </cell>
          <cell r="G37">
            <v>1</v>
          </cell>
          <cell r="H37" t="str">
            <v>OI</v>
          </cell>
          <cell r="I37" t="str">
            <v>When did you leave [COUNTRY OF FORCED DISPLACEMENT]?  
Please give the year and the month.</v>
          </cell>
          <cell r="K37" t="str">
            <v>Year:  
98. Don’t know
Change 98 to 9998
Month:    
98. Don’t know</v>
          </cell>
          <cell r="L37" t="str">
            <v xml:space="preserve">CHANGE THE HINT: 
If the year is unknown enter 9998
If the month is unknown enter 98
</v>
          </cell>
          <cell r="M37" t="str">
            <v>RECODE MISSING VALUES
'Don't know' for years should be 9998
'Don't know' for months should be 98</v>
          </cell>
          <cell r="N37" t="str">
            <v>Range</v>
          </cell>
          <cell r="O37" t="str">
            <v>Range</v>
          </cell>
          <cell r="P37" t="str">
            <v xml:space="preserve">INTER-QUESTION </v>
          </cell>
          <cell r="R37" t="str">
            <v>Condition 1.
"Year" (should be &gt;= 1900 &amp; =&lt;  2025) OR (be=9998)
Condition 2.
"Month" (should be &gt;= 1 &amp; =&lt;  12) OR (be=98)
Condition 3.
This date should be the SAME or BEFORE the date in hh_date (date of arrival to HC in Roster)</v>
          </cell>
          <cell r="S37" t="str">
            <v>Condition 1.
INVALID YEAR. PLEASE CHECK
Condition 2.
INVALID MONTH. PLEASE CHECK
Condition 3.
DATE OF LEAVING [COUNTRY OF FORCED DISPLACEMENT] SEEMS INCONSISTENT WITH DATE OF ARRIVE TO [HOST COUNTRY] IDENTIFIED IN ROSTER. PLEASE CHECK</v>
          </cell>
          <cell r="T37" t="str">
            <v>Condition 1.
LSMS 2015 (s1_firstmove)
LSMS 2015 (adapted from s1_firstmove)
Condition 2.
New</v>
          </cell>
          <cell r="U37" t="str">
            <v>Condition 1.
Change "2023" on validation for current year of survey
Condition 2.
Not necessary</v>
          </cell>
          <cell r="V37" t="str">
            <v>NOT PENDANT ANYMORE. 
Condition 3 was identified as priority for inter-question validations</v>
          </cell>
          <cell r="W37" t="str">
            <v xml:space="preserve">Not possible at the moment </v>
          </cell>
        </row>
        <row r="38">
          <cell r="A38" t="str">
            <v>DH_19</v>
          </cell>
          <cell r="B38">
            <v>31</v>
          </cell>
          <cell r="C38" t="str">
            <v>Other Modules</v>
          </cell>
          <cell r="D38" t="str">
            <v>Displacement History Ref-Asyl</v>
          </cell>
          <cell r="E38" t="str">
            <v>FD_last_res</v>
          </cell>
          <cell r="F38" t="str">
            <v>DH_19</v>
          </cell>
          <cell r="G38">
            <v>1</v>
          </cell>
          <cell r="H38" t="str">
            <v>SS</v>
          </cell>
          <cell r="I38" t="str">
            <v>What was your last country of residence before moving to [host country]?</v>
          </cell>
          <cell r="K38" t="str">
            <v>List of countries to be adapted to each context.</v>
          </cell>
          <cell r="R38" t="str">
            <v>Country selected here must be different than country specified in FD_where (country of forced displacement)</v>
          </cell>
          <cell r="S38" t="str">
            <v>THIS COUNTRY WAS ALREADY SELECTED AS COUNTRY OF FORCED DISPLACEMENT. PLEASE CHECK</v>
          </cell>
          <cell r="T38" t="str">
            <v>New</v>
          </cell>
          <cell r="W38" t="str">
            <v>Done</v>
          </cell>
        </row>
        <row r="39">
          <cell r="A39" t="str">
            <v>DH_21b</v>
          </cell>
          <cell r="B39">
            <v>32</v>
          </cell>
          <cell r="C39" t="str">
            <v>Other Modules</v>
          </cell>
          <cell r="D39" t="str">
            <v>Displacement History Ref-Asyl</v>
          </cell>
          <cell r="E39" t="str">
            <v>FD_loc_first</v>
          </cell>
          <cell r="F39" t="str">
            <v>DH_21b</v>
          </cell>
          <cell r="G39">
            <v>1</v>
          </cell>
          <cell r="I39" t="str">
            <v xml:space="preserve">What is the first location where you lived for more than one month in [host country]? Tell me the name of the province, the county, the district and the locality, i.e. village, town or camp name? </v>
          </cell>
          <cell r="K39" t="str">
            <v>NUTS 1 (provincial level):
NUTS 2 (county level):
NUTS 3 (district level): 
NUTS 4 (village, town or camp name):</v>
          </cell>
          <cell r="R39" t="str">
            <v>This locations should be different than current location</v>
          </cell>
          <cell r="S39" t="str">
            <v>THIS LOCATION WAS SELECTED AS CURRENT LOCATION. PLEASE CHECK</v>
          </cell>
          <cell r="T39" t="str">
            <v>New</v>
          </cell>
        </row>
        <row r="40">
          <cell r="A40" t="str">
            <v>DH_22</v>
          </cell>
          <cell r="B40">
            <v>33</v>
          </cell>
          <cell r="C40" t="str">
            <v>Other Modules</v>
          </cell>
          <cell r="D40" t="str">
            <v>Displacement History Ref-Asyl</v>
          </cell>
          <cell r="E40" t="str">
            <v>FD_loc_where</v>
          </cell>
          <cell r="F40" t="str">
            <v>DH_22</v>
          </cell>
          <cell r="G40">
            <v>3</v>
          </cell>
          <cell r="H40" t="str">
            <v>MS</v>
          </cell>
          <cell r="I40" t="str">
            <v xml:space="preserve">Where did you live for more than one month in [host country]?    Please give the 3 most recent locations. For each location, tell me the name of the province, the county, the district and the locality, i.e. village or town? </v>
          </cell>
          <cell r="J40" t="str">
            <v>Record the 3 most recent locations.</v>
          </cell>
          <cell r="K40" t="str">
            <v xml:space="preserve">
Change codes into letters, and 96 to OT and 99 to RF? Since it is a MS question
1. in another camp/site: specify the name
2. in another village: specify NUTS 1 to 4
3. in another city: specify  NUTS 1 to 4
96. Other: specify  
99. Refuse to answer</v>
          </cell>
          <cell r="N40" t="str">
            <v>MS 
(If DK or RF are selected)</v>
          </cell>
          <cell r="O40" t="str">
            <v>MS 
(A location (answer) can only be selected once)</v>
          </cell>
          <cell r="P40" t="str">
            <v>INTER-QUESTION 
within same module</v>
          </cell>
          <cell r="R40" t="str">
            <v>Condition 1.
If 99 is selected, then no other response should be selected at the same time
Condition 2.
Location(s) identified here should be different between them. 
Condition 3.
Location(s) identified here should be different from FD_loc_first (first location where the respondent lived for more than one month, which is collected only in case they not always lived in current location)</v>
          </cell>
          <cell r="S40" t="str">
            <v>Conditon 1.
THE COMBINATION OF ANSWERS YOU HAVE CHOSEN IS NOT POSSIBLE. PLEASE CHECK
Condition 2.
INVALID LOCATION. THIS LOCATION HAS ALREADY BEEN SELECTED AS FIRST LOCATION WHERE THIS PERSON LIVED IN [HOST COUNTRY]. PLEASE CHECK.
Condition 3.
INVALID LOCATION. THIS LOCATION HAS ALREADY BEEN SELECTED BEFORE. PLEASE CHECK</v>
          </cell>
          <cell r="T40" t="str">
            <v>Condition 1.
New
Condition 2.
New
Condition 3.
New</v>
          </cell>
        </row>
        <row r="41">
          <cell r="A41" t="str">
            <v>DH_29</v>
          </cell>
          <cell r="B41">
            <v>34</v>
          </cell>
          <cell r="C41" t="str">
            <v>Other Modules</v>
          </cell>
          <cell r="D41" t="str">
            <v>Displacement History Ref-Asyl</v>
          </cell>
          <cell r="E41" t="str">
            <v>Asyl_grant_ID</v>
          </cell>
          <cell r="F41" t="str">
            <v>DH_29</v>
          </cell>
          <cell r="G41">
            <v>1</v>
          </cell>
          <cell r="H41" t="str">
            <v>OI</v>
          </cell>
          <cell r="I41" t="str">
            <v>Please tell me the names of all household members who were granted asylum in [host country].</v>
          </cell>
          <cell r="K41" t="str">
            <v>ID codes:
00. volunteered response: all household  members</v>
          </cell>
          <cell r="R41" t="str">
            <v xml:space="preserve">Ask Imane/lorenza. Im not putting here validation that this should be names that also appear in Asyl_host_ID. In case they got asylum as prima facie </v>
          </cell>
          <cell r="W41" t="str">
            <v>Done</v>
          </cell>
        </row>
        <row r="42">
          <cell r="A42" t="str">
            <v>DH_40</v>
          </cell>
          <cell r="B42">
            <v>35</v>
          </cell>
          <cell r="C42" t="str">
            <v>Other Modules</v>
          </cell>
          <cell r="D42" t="str">
            <v>Displacement History Ref-Asyl</v>
          </cell>
          <cell r="E42" t="str">
            <v>Return_when</v>
          </cell>
          <cell r="F42" t="str">
            <v>DH_40</v>
          </cell>
          <cell r="G42">
            <v>1</v>
          </cell>
          <cell r="H42" t="str">
            <v>OI</v>
          </cell>
          <cell r="I42" t="str">
            <v>When did you return to [host country]?  
Please give the year and the month.</v>
          </cell>
          <cell r="K42" t="str">
            <v>Year:  
98. Don’t know
Change 98 to 9998
Month:    
98. Don’t know</v>
          </cell>
          <cell r="L42" t="str">
            <v xml:space="preserve">CHANGE THE HINT: 
If the year is unknown enter 9998
If the month is unknown enter 98
</v>
          </cell>
          <cell r="M42" t="str">
            <v>RECODE MISSING VALUES
'Don't know' for years should be 9998
'Don't know' for months should be 98</v>
          </cell>
          <cell r="N42" t="str">
            <v>Range</v>
          </cell>
          <cell r="O42" t="str">
            <v>Range</v>
          </cell>
          <cell r="R42" t="str">
            <v>Condition 1.
"Year" (should be &gt;= 1900 &amp; =&lt;  2023) OR (be=9998)
Condition 2.
"Month" (should be &gt;= 1 &amp; =&lt;  12) OR (be=98)</v>
          </cell>
          <cell r="S42" t="str">
            <v>Condition 1.
INVALID YEAR. PLEASE CHECK
Condition 2.
INVALID MONTH. PLEASE CHECK</v>
          </cell>
          <cell r="T42" t="str">
            <v>Condition 1.
LSMS 2015 (s1_firstmove)
Conditoin 2.
LSMS 2015 (adapted from s1_firstmove)</v>
          </cell>
          <cell r="U42" t="str">
            <v>Change "2023" on validation for current year of survey</v>
          </cell>
          <cell r="W42" t="str">
            <v>Done</v>
          </cell>
        </row>
        <row r="43">
          <cell r="A43" t="str">
            <v>DH_IDP_03</v>
          </cell>
          <cell r="B43">
            <v>36</v>
          </cell>
          <cell r="C43" t="str">
            <v>Other Modules</v>
          </cell>
          <cell r="D43" t="str">
            <v>Displacement History IDPs</v>
          </cell>
          <cell r="E43" t="str">
            <v>IDP_long</v>
          </cell>
          <cell r="F43" t="str">
            <v>DH_IDP_03</v>
          </cell>
          <cell r="G43">
            <v>2</v>
          </cell>
          <cell r="H43" t="str">
            <v>OI</v>
          </cell>
          <cell r="I43" t="str">
            <v>Approximately, for how long were you living in [location of origin] before you were forced to flee? Tell us in terms of years and months.</v>
          </cell>
          <cell r="K43" t="str">
            <v xml:space="preserve">Year:  
98. Don’t know
Month:    
98. Don’t know
97. v.r. Since my birth
change 97 to 997
Change 98 to 998 in Years
Put first Months, and then Years
</v>
          </cell>
          <cell r="L43" t="str">
            <v xml:space="preserve">CHANGE THE HINT: 
If 'volunteer responde: Since my birth' enter 97 in "Months"
If Month is unknown enter 98
If Year is unknown enter 998
</v>
          </cell>
          <cell r="M43" t="str">
            <v xml:space="preserve">RECODE MISSING VALUES
If 'volunteer responde: Since my birth' enter 97 in months
'Don't know' for months should be 98
'Don't know' for years should be 998
</v>
          </cell>
          <cell r="N43" t="str">
            <v>Range</v>
          </cell>
          <cell r="O43" t="str">
            <v>Range</v>
          </cell>
          <cell r="R43" t="str">
            <v xml:space="preserve">
Condition 1.
"Months" (should be &gt;= 0 &amp; =&lt;  11) OR (be=97) OR (be=98)
Condition 2.
"Years" (should be &gt;=  0 &amp; =&lt;  110) OR (be=9998)
</v>
          </cell>
          <cell r="S43" t="str">
            <v xml:space="preserve">
Condition 1.
NUMBER OF MONTHS SHOULD BE BETWEEN 0 AND 11. PLEASE CHECK
Conditoin 2.
INVALID YEAR. PLEASE CHECK
</v>
          </cell>
          <cell r="T43" t="str">
            <v>Condition 1.
LSMS 2015 (s1_hmthawy)
Condition 2.
LSMS 2015 (s1_hmthawy)</v>
          </cell>
          <cell r="V43" t="str">
            <v>NOT PENDANT ANYMORE.
LEONA AND PETRA.Can we make that enumerators fill in first 'Months', abd then Years?
The missing code should only appear in the variable 'Months", so if the enumerator enters 97 there, then, there should be a skip to the next question, so 'year' should not appear for enumerators to fill in.</v>
          </cell>
          <cell r="W43" t="str">
            <v>Done</v>
          </cell>
        </row>
        <row r="44">
          <cell r="A44" t="str">
            <v>DH_IDP_04</v>
          </cell>
          <cell r="B44">
            <v>37</v>
          </cell>
          <cell r="C44" t="str">
            <v>Other Modules</v>
          </cell>
          <cell r="D44" t="str">
            <v>Displacement History IDPs</v>
          </cell>
          <cell r="E44" t="str">
            <v>IDP_left_when</v>
          </cell>
          <cell r="F44" t="str">
            <v>DH_IDP_04</v>
          </cell>
          <cell r="G44">
            <v>1</v>
          </cell>
          <cell r="H44" t="str">
            <v>OI</v>
          </cell>
          <cell r="I44" t="str">
            <v>When did you leave [location of origin]?  
Please give the year and the month.</v>
          </cell>
          <cell r="K44" t="str">
            <v>Year:  
98. Don’t know
Change 98 to 9998
Month:    
98. Don’t know</v>
          </cell>
          <cell r="L44" t="str">
            <v xml:space="preserve">CHANGE THE HINT: 
If the year is unknown enter 9998
If the month is unknown enter 98
</v>
          </cell>
          <cell r="M44" t="str">
            <v>RECODE MISSING VALUES
'Don't know' for years should be 9998
'Don't know' for months should be 98</v>
          </cell>
          <cell r="N44" t="str">
            <v>Range</v>
          </cell>
          <cell r="O44" t="str">
            <v>Range</v>
          </cell>
          <cell r="R44" t="str">
            <v>Condition 1.
"Year" (should be &gt;= 1900 &amp; =&lt;  2026) OR (be=9998)
Condition 2.
"Month" (should be &gt;= 1 &amp; =&lt;  12) OR (be=98)</v>
          </cell>
          <cell r="S44" t="str">
            <v>Condition 1.
INVALID YEAR. PLEASE CHECK
Condition 2.
INVALID MONTH. PLEASE CHECK</v>
          </cell>
          <cell r="T44" t="str">
            <v>Condition 1.
LSMS 2015 (s1_firstmove)
Condition 2.
LSMS 2015 (adapted from s1_firstmove)</v>
          </cell>
          <cell r="U44" t="str">
            <v>Change "2023" on validation for current year of survey</v>
          </cell>
          <cell r="W44" t="str">
            <v>Done</v>
          </cell>
        </row>
        <row r="45">
          <cell r="A45" t="str">
            <v>DH_IDP_06</v>
          </cell>
          <cell r="B45">
            <v>38</v>
          </cell>
          <cell r="C45" t="str">
            <v>Other Modules</v>
          </cell>
          <cell r="D45" t="str">
            <v>Displacement History IDPs</v>
          </cell>
          <cell r="E45" t="str">
            <v>IDP_where</v>
          </cell>
          <cell r="F45" t="str">
            <v>DH_IDP_06</v>
          </cell>
          <cell r="G45">
            <v>1</v>
          </cell>
          <cell r="H45" t="str">
            <v>OT</v>
          </cell>
          <cell r="I45" t="str">
            <v xml:space="preserve">When you were forced to flee, where did you go first? Tell me the name of  [the country], the province, the county, the district and the locality, i.e. village or town? </v>
          </cell>
          <cell r="K45" t="str">
            <v>NUTS 0 (country):
NUTS 1 (provincial level):
NUTS 2 (county level):
NUTS 3 (district level): 
NUTS 4 (village or town name):
Volunteered response: the location where I currently live</v>
          </cell>
          <cell r="R45" t="str">
            <v>This location should be different than the one in IDP_origine</v>
          </cell>
          <cell r="S45" t="str">
            <v>LOCATION IS THE SAME AS LOCATION FROM WERE THE RESPONDENT FLED. PLEASE CHECK</v>
          </cell>
          <cell r="T45" t="str">
            <v>NEW</v>
          </cell>
          <cell r="V45" t="str">
            <v>I'm using "flee" instead of forced displacemnet because is the term we use in question IDP_origine</v>
          </cell>
          <cell r="W45" t="str">
            <v xml:space="preserve">Not possible at the moment </v>
          </cell>
        </row>
        <row r="46">
          <cell r="A46" t="str">
            <v>DH_IDP_08</v>
          </cell>
          <cell r="B46">
            <v>39</v>
          </cell>
          <cell r="C46" t="str">
            <v>Other Modules</v>
          </cell>
          <cell r="D46" t="str">
            <v>Displacement History IDPs</v>
          </cell>
          <cell r="E46" t="str">
            <v>IDP_loc</v>
          </cell>
          <cell r="F46" t="str">
            <v>DH_IDP_08</v>
          </cell>
          <cell r="G46">
            <v>3</v>
          </cell>
          <cell r="H46" t="str">
            <v>OT</v>
          </cell>
          <cell r="I46" t="str">
            <v xml:space="preserve">Where did you live for more than one month since you were forced to flee [location of origin]? Please give the 3 most recent locations. Tell me the name of [the country], the province, the county, the district and the locality, i.e. village or town? 
</v>
          </cell>
          <cell r="K46" t="str">
            <v>NUTS 0 (country):
NUTS 1 (provincial level):
NUTS 2 (county level):
NUTS 3 (district level): 
NUTS 4 (village or town name):
Volunteered response: no other location than the first one where I fled</v>
          </cell>
          <cell r="R46" t="str">
            <v>Locations identified here should (be different from each other) AND (different from location in IDP_where)</v>
          </cell>
          <cell r="S46" t="str">
            <v>THIS LOCATION IS THE SAME AS PREVIOUS ONES WHERE [NAME] LIVED. PLEASE CHECK</v>
          </cell>
          <cell r="T46" t="str">
            <v>NEW</v>
          </cell>
          <cell r="V46" t="str">
            <v>IDP_origine was not considered in this validation, to allow cases where the person might come back to that location of first flee</v>
          </cell>
          <cell r="W46" t="str">
            <v xml:space="preserve">Not possible at the moment </v>
          </cell>
        </row>
        <row r="47">
          <cell r="A47" t="str">
            <v>DH_IDP_12</v>
          </cell>
          <cell r="B47">
            <v>40</v>
          </cell>
          <cell r="C47" t="str">
            <v>Other Modules</v>
          </cell>
          <cell r="D47" t="str">
            <v>Displacement History IDPs</v>
          </cell>
          <cell r="E47" t="str">
            <v>IDP_back_first</v>
          </cell>
          <cell r="F47" t="str">
            <v>DH_IDP_12</v>
          </cell>
          <cell r="G47">
            <v>3</v>
          </cell>
          <cell r="H47" t="str">
            <v>OI</v>
          </cell>
          <cell r="I47" t="str">
            <v>When was your first attempt to [go/come] back to [location of origin]?  
Please give the year and the month.</v>
          </cell>
          <cell r="K47" t="str">
            <v>Year:  
98. Don’t know
Change 98 to 9998
Month:    
98. Don’t know</v>
          </cell>
          <cell r="L47" t="str">
            <v xml:space="preserve">CHANGE THE HINT: 
If the year is unknown enter 9998
If the month is unknown enter 98
</v>
          </cell>
          <cell r="M47" t="str">
            <v>RECODE MISSING VALUES
'Don't know' for years should be 9998
'Don't know' for months should be 98</v>
          </cell>
          <cell r="N47" t="str">
            <v>Range</v>
          </cell>
          <cell r="O47" t="str">
            <v>Range</v>
          </cell>
          <cell r="R47" t="str">
            <v>Condition 1.
"Year" (should be &gt;= 1900 &amp; =&lt;2026) OR (be=9998)
Condition 2.
"Month" (should be &gt;= 1 &amp; =&lt;12) OR (be=98)</v>
          </cell>
          <cell r="S47" t="str">
            <v>Condition 1.
INVALID YEAR. PLEASE CHECK
Condition 2.
INVALID MONTH. PLEASE CHECK</v>
          </cell>
          <cell r="T47" t="str">
            <v>Condition 1.
LSMS 2015 (s1_firstmove)
Condition 2.
LSMS 2015 (adapted from s1_firstmove)
Condition 3.
New</v>
          </cell>
          <cell r="U47" t="str">
            <v>Change "2023" on validation for current year of survey</v>
          </cell>
          <cell r="V47" t="str">
            <v>not pendant anymore. Condition 3 was dropped for SSD</v>
          </cell>
          <cell r="W47" t="str">
            <v>DOne</v>
          </cell>
        </row>
        <row r="48">
          <cell r="A48" t="str">
            <v>DH_IDP_13</v>
          </cell>
          <cell r="B48">
            <v>41</v>
          </cell>
          <cell r="C48" t="str">
            <v>Other Modules</v>
          </cell>
          <cell r="D48" t="str">
            <v>Displacement History IDPs</v>
          </cell>
          <cell r="E48" t="str">
            <v>IDP_back_when</v>
          </cell>
          <cell r="F48" t="str">
            <v>DH_IDP_13</v>
          </cell>
          <cell r="G48">
            <v>1</v>
          </cell>
          <cell r="H48" t="str">
            <v>OI</v>
          </cell>
          <cell r="I48" t="str">
            <v>When did you come back to [location of origin]?  Please give the year and the month.</v>
          </cell>
          <cell r="K48" t="str">
            <v>Year:  
98. Don’t know
Change 98 to 9998
Month:    
98. Don’t know</v>
          </cell>
          <cell r="L48" t="str">
            <v xml:space="preserve">CHANGE THE HINT: 
If the year is unknown enter 9998
If the month is unknown enter 98
</v>
          </cell>
          <cell r="M48" t="str">
            <v>RECODE MISSING VALUES
'Don't know' for years should be 9998
'Don't know' for months should be 98</v>
          </cell>
          <cell r="N48" t="str">
            <v>Range</v>
          </cell>
          <cell r="O48" t="str">
            <v>Range</v>
          </cell>
          <cell r="P48" t="str">
            <v xml:space="preserve">INTER-QUESTION </v>
          </cell>
          <cell r="R48" t="str">
            <v>Condition 1. 
"Year" (should be &gt;= 1900 &amp; =&lt;2026) OR (be=999)
Condition 2.
"Month" (should be &gt;= 1 &amp; =&lt;12) OR (be=9998)
Condition 3. 
This date should be  AFTER or the SAME as the date in IDP_left_when (when interviewee left locatin of origin)</v>
          </cell>
          <cell r="S48" t="str">
            <v>Condition 1. 
INVALID YEAR. PLEASE CHECK
Condition 2.
INVALID MONTH. PLEASE CHECK
Condition 3.
DATE IS INCONSISTENT WITH DATE OF LEAVING [LOCATION OF ORIGIN]. PLEASE CHECK</v>
          </cell>
          <cell r="T48" t="str">
            <v>Condition 1.
LSMS 2015 (s1_firstmove)
LSMS 2015 (adapted from s1_firstmove)
Condition 2.
New
Condition 3.
New</v>
          </cell>
          <cell r="U48" t="str">
            <v>Condition 1. 
Change "2023" on validation for current year of survey
Condition 2.
Not necessary</v>
          </cell>
          <cell r="V48" t="str">
            <v>NOT PENDANT ANYMORE. CONDITION 3 IS A INTER-QUESTION VALIDATION THAT HAS BEEN PRIORITIZED for ssd</v>
          </cell>
          <cell r="W48" t="str">
            <v xml:space="preserve">Not possible at the moment </v>
          </cell>
        </row>
        <row r="49">
          <cell r="A49" t="str">
            <v>DH_IDP_14b</v>
          </cell>
          <cell r="D49" t="str">
            <v>Displacement History IDPs</v>
          </cell>
          <cell r="H49" t="str">
            <v>MS</v>
          </cell>
          <cell r="I49" t="str">
            <v>Why are not all household members living with you in [current location]?</v>
          </cell>
          <cell r="K49"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49" t="str">
            <v>Condition 1.
If "DK" OR "RF" are selected, then no other response should be selected at the same time</v>
          </cell>
          <cell r="S49" t="str">
            <v xml:space="preserve">Conditon 1.
THE COMBINATION OF ANSWERS YOU HAVE CHOSEN IS NOT POSSIBLE. PLEASE CHECK
</v>
          </cell>
        </row>
        <row r="50">
          <cell r="A50" t="str">
            <v>DH_RR_02</v>
          </cell>
          <cell r="B50">
            <v>42</v>
          </cell>
          <cell r="C50" t="str">
            <v>Other Modules</v>
          </cell>
          <cell r="D50" t="str">
            <v>DH Refugee Returnees</v>
          </cell>
          <cell r="E50" t="str">
            <v>RR_loc_when</v>
          </cell>
          <cell r="F50" t="str">
            <v>DH_RR_02</v>
          </cell>
          <cell r="G50">
            <v>1</v>
          </cell>
          <cell r="H50" t="str">
            <v>OI</v>
          </cell>
          <cell r="I50" t="str">
            <v>When did you leave [location of origin]?  
Please give the year and the month.</v>
          </cell>
          <cell r="K50" t="str">
            <v>Year:  
98. Don’t know
Change 98 to 9998
Month:    
98. Don’t know</v>
          </cell>
          <cell r="L50" t="str">
            <v xml:space="preserve">CHANGE THE HINT: 
If the year is unknown enter 9998
If the month is unknown enter 98
</v>
          </cell>
          <cell r="M50" t="str">
            <v>RECODE MISSING VALUES
'Don't know' for years should be 9998
'Don't know' for months should be 98</v>
          </cell>
          <cell r="N50" t="str">
            <v>Range</v>
          </cell>
          <cell r="O50" t="str">
            <v>Range</v>
          </cell>
          <cell r="R50" t="str">
            <v xml:space="preserve">"Years" (should be &gt;= 1900 &amp; =&lt;2026) OR (be=9998)
"Month" (should be &gt;= 1 &amp; =&lt;12) OR (be=98)
</v>
          </cell>
          <cell r="S50" t="str">
            <v>Condition 1.
INVALID YEAR. PLEASE CHECK
Condition 2.
INVALID MONTH. PLEASE CHECK</v>
          </cell>
          <cell r="T50" t="str">
            <v>LSMS 2015 (s1_firstmove)</v>
          </cell>
          <cell r="U50" t="str">
            <v>Change "2023" on validation for current year of survey</v>
          </cell>
          <cell r="W50" t="str">
            <v>Done</v>
          </cell>
        </row>
        <row r="51">
          <cell r="A51" t="str">
            <v>DH_RR_03</v>
          </cell>
          <cell r="B51">
            <v>43</v>
          </cell>
          <cell r="C51" t="str">
            <v>Other Modules</v>
          </cell>
          <cell r="D51" t="str">
            <v>DH Refugee Returnees</v>
          </cell>
          <cell r="E51" t="str">
            <v>RR_country_when</v>
          </cell>
          <cell r="F51" t="str">
            <v>DH_RR_03</v>
          </cell>
          <cell r="G51">
            <v>1</v>
          </cell>
          <cell r="H51" t="str">
            <v>OI</v>
          </cell>
          <cell r="I51" t="str">
            <v>When did you leave [country of origin]?  
Please give the year and the month.</v>
          </cell>
          <cell r="K51" t="str">
            <v>Year:  
98. Don’t know
Change 98 to 9998
Month:    
98. Don’t know</v>
          </cell>
          <cell r="L51" t="str">
            <v xml:space="preserve">CHANGE THE HINT: 
If the year is unknown enter 9998
If the month is unknown enter 98
</v>
          </cell>
          <cell r="M51" t="str">
            <v>RECODE MISSING VALUES
'Don't know' for years should be 9998
'Don't know' for months should be 98</v>
          </cell>
          <cell r="N51" t="str">
            <v>Range</v>
          </cell>
          <cell r="O51" t="str">
            <v>Range</v>
          </cell>
          <cell r="P51" t="str">
            <v xml:space="preserve">INTER-QUESTION </v>
          </cell>
          <cell r="Q51" t="str">
            <v xml:space="preserve">INTER-QUESTION </v>
          </cell>
          <cell r="R51" t="str">
            <v>Condition 1.
"Years" (should be &gt;= 1900 &amp; =&lt;2026) OR (be=9998)
Condition 2.
"Month" (should be &gt;= 1 &amp; =&lt;12) OR (be=98)
Condition 3.
This date should be the SAME or AFTER the one in RR_loc_when
Condition 4.
This date should be the SAME or BEFORE the date in hh_date (date of arrival to HC in Roster)</v>
          </cell>
          <cell r="S51" t="str">
            <v>Conditoin 1. 
INVALID YEAR. PLEASE CHECK
Condition 2.
INVALID MONTH. PLEASE CHECK
Condition 3.
THIS DATE SHOULD NOT BE BEFORE THE DATE OF LEAVING [LOCATION OF ORIGIN]. PLEASE CHECK
Condition 4.
THIS DATE IS INCONSISTENT WITH DATE OF ARRIVAL TO [HOST COUNTRY] SPECIFIED IN ROSTER. PLEASE CHECK</v>
          </cell>
          <cell r="T51" t="str">
            <v>Condition 1.
LSMS 2015 (s1_firstmove)
Condition 2.
New</v>
          </cell>
          <cell r="U51" t="str">
            <v>Conditoin 1.
Change "2023" on validation for current year of survey</v>
          </cell>
          <cell r="V51" t="str">
            <v>NOT PENDANT ANYMORE. CONDITION 3 AND 4  ARE INTER-QUESTION VALIDATIONS THAT HAS BEEN PRIORITIZED for ssd</v>
          </cell>
          <cell r="W51" t="str">
            <v xml:space="preserve">Not possible at the moment </v>
          </cell>
        </row>
        <row r="52">
          <cell r="A52" t="str">
            <v>DH_RR_06</v>
          </cell>
          <cell r="B52">
            <v>44</v>
          </cell>
          <cell r="C52" t="str">
            <v>Other Modules</v>
          </cell>
          <cell r="D52" t="str">
            <v>DH Refugee Returnees</v>
          </cell>
          <cell r="E52" t="str">
            <v>RR_where</v>
          </cell>
          <cell r="F52" t="str">
            <v>DH_RR_06</v>
          </cell>
          <cell r="G52">
            <v>2</v>
          </cell>
          <cell r="H52" t="str">
            <v>MS</v>
          </cell>
          <cell r="I52" t="str">
            <v>In which countries did you live for more than one month after leaving [COUNTRY OF ORIGIN] ?</v>
          </cell>
          <cell r="J52" t="str">
            <v>Recod all that apply.</v>
          </cell>
          <cell r="K52" t="str">
            <v>List of countries to be adapted to each context.
Shall we add a RF?</v>
          </cell>
          <cell r="N52" t="str">
            <v>We would need a validation here if we had a RF among responses</v>
          </cell>
          <cell r="W52" t="str">
            <v>Done</v>
          </cell>
        </row>
        <row r="53">
          <cell r="A53" t="str">
            <v>DH_RR_07b</v>
          </cell>
          <cell r="H53" t="str">
            <v>MS</v>
          </cell>
          <cell r="I53" t="str">
            <v>For what reasons did you or any member of your household come back to visit [country of origin] during the time you were living abroad?</v>
          </cell>
          <cell r="K53" t="str">
            <v>A. To visit (family, friends)   
B. To check the status of the property  
C. To plant and harvest
D. To do some business/get money                                                               
E. To figure out whether I want to return
96. Other: specify
98. Refuse to answer</v>
          </cell>
          <cell r="R53" t="str">
            <v xml:space="preserve">Condition 1.
If "RF" is selected, then no other response should be selected at the same time
</v>
          </cell>
          <cell r="S53" t="str">
            <v xml:space="preserve">Conditon 1.
THE COMBINATION OF ANSWERS YOU HAVE CHOSEN IS NOT POSSIBLE. PLEASE CHECK
</v>
          </cell>
        </row>
        <row r="54">
          <cell r="A54" t="str">
            <v>DH_RR_16b</v>
          </cell>
          <cell r="H54" t="str">
            <v>MS</v>
          </cell>
          <cell r="I54" t="str">
            <v>Why are not all household members living with you in [current location]?</v>
          </cell>
          <cell r="K54" t="str">
            <v xml:space="preserve">A. work somewhere else/live in a place with better job opportunities
B. live in a place with better access to services. For example, heathcare services, education. 
C. live closer to family members
D. live closer to their land
OT. Other: specify
DK. Don't know
RF. Refuse to answer
</v>
          </cell>
          <cell r="R54" t="str">
            <v>Condition 1.
If "DK" OR "RF" are selected, then no other response should be selected at the same time</v>
          </cell>
          <cell r="S54" t="str">
            <v xml:space="preserve">Conditon 1.
THE COMBINATION OF ANSWERS YOU HAVE CHOSEN IS NOT POSSIBLE. PLEASE CHECK
</v>
          </cell>
        </row>
        <row r="55">
          <cell r="A55" t="str">
            <v>DH_RR_09</v>
          </cell>
          <cell r="B55">
            <v>45</v>
          </cell>
          <cell r="C55" t="str">
            <v>Other Modules</v>
          </cell>
          <cell r="D55" t="str">
            <v>DH Refugee Returnees</v>
          </cell>
          <cell r="E55" t="str">
            <v>RR_back_first</v>
          </cell>
          <cell r="F55" t="str">
            <v>DH_RR_09</v>
          </cell>
          <cell r="G55">
            <v>3</v>
          </cell>
          <cell r="H55" t="str">
            <v>OI</v>
          </cell>
          <cell r="I55" t="str">
            <v>When was your first attempt to come back to [COUNTRY OF ORIGIN]?  
Please give the year and the month.</v>
          </cell>
          <cell r="K55" t="str">
            <v>Year:  
98. Don’t know
Change 98 to 9998
Month:    
98. Don’t know</v>
          </cell>
          <cell r="L55" t="str">
            <v xml:space="preserve">CHANGE THE HINT: 
If the year is unknown enter 9998
If the month is unknown enter 98
</v>
          </cell>
          <cell r="M55" t="str">
            <v>RECODE MISSING VALUES
'Don't know' for years should be 9998
'Don't know' for months should be 98</v>
          </cell>
          <cell r="N55" t="str">
            <v>Range</v>
          </cell>
          <cell r="O55" t="str">
            <v>Range</v>
          </cell>
          <cell r="R55" t="str">
            <v>Condition 1.
"Year" (should be &gt;= 1900 &amp; =&lt;2025) OR (be=9998)
Condition 2.
"Month" (should be &gt;= 1 &amp; =&lt;12) OR (be=98)
Condition3.
The date should be the same as or  later than the date in DH_RR_03.</v>
          </cell>
          <cell r="S55" t="str">
            <v>Condition 1.
INVALID YEAR. PLEASE CHECK
Condition 2.
INVALID MONTH. PLEASE CHECK
Condition 3.
THIS DATE SHOULD BE THE SAME OR LATER TO THE DATE THE RESPONDENT LEFT [COUNTRY OF ORIGIN]. PLEASE CHECK</v>
          </cell>
          <cell r="T55" t="str">
            <v>Conditoin 1.
LSMS 2015 (s1_firstmove)
Condition 2.
LSMS 2015 (adapted from s1_firstmove)
Condition 3.
New</v>
          </cell>
          <cell r="U55" t="str">
            <v>Condition 1.
Change "2023" on validation for current year of survey
Condition 2.
Not necessary</v>
          </cell>
          <cell r="V55" t="str">
            <v>NOT PENDANT ANYMORE
CONDITION 3 HAS BEEN DROPED FOR SSD</v>
          </cell>
          <cell r="W55" t="str">
            <v>Done</v>
          </cell>
        </row>
        <row r="56">
          <cell r="A56" t="str">
            <v>DH_RR_10</v>
          </cell>
          <cell r="B56">
            <v>46</v>
          </cell>
          <cell r="C56" t="str">
            <v>Other Modules</v>
          </cell>
          <cell r="D56" t="str">
            <v>DH Refugee Returnees</v>
          </cell>
          <cell r="E56" t="str">
            <v>RR_back_when</v>
          </cell>
          <cell r="F56" t="str">
            <v>DH_RR_10</v>
          </cell>
          <cell r="G56">
            <v>1</v>
          </cell>
          <cell r="H56" t="str">
            <v>OI</v>
          </cell>
          <cell r="I56" t="str">
            <v>When did you come back to  [COUNTRY OF ORIGIN]?  Please give the year and the month.</v>
          </cell>
          <cell r="K56" t="str">
            <v>Year:  
98. Don’t know
Change 98 to 9998
Month:    
98. Don’t know</v>
          </cell>
          <cell r="N56" t="str">
            <v>INTER-QUESTION 
within same module</v>
          </cell>
          <cell r="O56" t="str">
            <v>INTER-QUESTION 
within same module</v>
          </cell>
          <cell r="R56" t="str">
            <v>Condition 1.
Date here (RR_back_when) should be the SAME or LATER than the date of leaving [COUNTRY OF ORIGIN] (RR_country_when)
Condition 2.
If RR_back_first is asked (1st attempt to come back to country or origin), then this date should be the SAME OR LATER  than RR_back_first.</v>
          </cell>
          <cell r="S56" t="str">
            <v>Condition 1.
THIS DATE IS IN INCONSISTENT WITH THE DATE OF LEAVING [COUNTRY OF ORIGIN]. PLEASE CHECK
Condition 2.
YOU SELECTED A DATE OF COMING BACK TO [COUNTRY OF ORIGIN] THAT PREVIOUS TO THE FIRST ATTEMPT TO COME BACK TO [CCOUNTRY OF ORIGIN]. PLEASE CHECK</v>
          </cell>
          <cell r="T56" t="str">
            <v>Inspired by BISP 2018</v>
          </cell>
          <cell r="V56" t="str">
            <v>Do we need the second validation? Might be too much…</v>
          </cell>
        </row>
        <row r="57">
          <cell r="A57" t="str">
            <v>HE04</v>
          </cell>
          <cell r="B57">
            <v>47</v>
          </cell>
          <cell r="C57" t="str">
            <v>Economic</v>
          </cell>
          <cell r="D57" t="str">
            <v>Clean Energy</v>
          </cell>
          <cell r="F57" t="str">
            <v>HE04</v>
          </cell>
          <cell r="G57">
            <v>1</v>
          </cell>
          <cell r="H57" t="str">
            <v>OI</v>
          </cell>
          <cell r="I57" t="str">
            <v>In the past 7 days, on average how many hours of electricity were available  per day?</v>
          </cell>
          <cell r="J57" t="str">
            <v>Maximum 24 hours</v>
          </cell>
          <cell r="K57" t="str">
            <v xml:space="preserve">Number 
of hours _ _
Number 
of minutes _ _ _
Does not know / unsure 98
</v>
          </cell>
          <cell r="L57" t="str">
            <v>If Don’t'w know/unsure, enter 98</v>
          </cell>
          <cell r="M57" t="str">
            <v>Don’t know/unsure is 98</v>
          </cell>
          <cell r="N57" t="str">
            <v>Range</v>
          </cell>
          <cell r="R57" t="str">
            <v>Condition 1.
Number of hours should (be &gt;=0 &amp; &lt;=24) OR (BE=98)
Condition 2.
Number of minutes should (be &gt;= 0 &amp; =&lt;59) OR (BE=98)</v>
          </cell>
          <cell r="S57" t="str">
            <v>Condition 1.
NUMBER OF HOURS SHOULD BE BETWEEN 0 AND 24. PLEASE CHECK
Condition 2.
NUMBER OF MINUTES SHOULD BE BETWEEN 0 AND 59. PLEASE CHECK</v>
          </cell>
          <cell r="T57" t="str">
            <v>new</v>
          </cell>
          <cell r="V57" t="str">
            <v>LEONA, PETRA: THIS VALIDATION HAS BEEN MODIFIED, TO INCLUDE THE MISSING CODE</v>
          </cell>
          <cell r="W57" t="str">
            <v>Done</v>
          </cell>
        </row>
        <row r="58">
          <cell r="A58" t="str">
            <v>HE05</v>
          </cell>
          <cell r="B58">
            <v>48</v>
          </cell>
          <cell r="C58" t="str">
            <v>Economic</v>
          </cell>
          <cell r="D58" t="str">
            <v>Clean Energy</v>
          </cell>
          <cell r="F58" t="str">
            <v>HE05</v>
          </cell>
          <cell r="G58">
            <v>1</v>
          </cell>
          <cell r="H58" t="str">
            <v>OI</v>
          </cell>
          <cell r="I58" t="str">
            <v>In the past 7 days, on average how many hours of electricity were available each evening, from 6:00pm to 10:00pm from [response in HE01]?</v>
          </cell>
          <cell r="J58" t="str">
            <v>Maximum 4 hours</v>
          </cell>
          <cell r="K58" t="str">
            <v>Number 
of hours _ _
Number 
of minutes _ _ _
Does not know / unsure 98</v>
          </cell>
          <cell r="L58" t="str">
            <v>CHECK HINT
If Hours unknown enter 98
If Minutes unknown enter 98</v>
          </cell>
          <cell r="M58" t="str">
            <v>CHECK MISSING VALUES
"Don’t know"should be 98 in hours
"Don’t know"should be 98 in minutes</v>
          </cell>
          <cell r="N58" t="str">
            <v>Range</v>
          </cell>
          <cell r="O58" t="str">
            <v>Range</v>
          </cell>
          <cell r="R58" t="str">
            <v>Condition 1.
'Hours' should (be &gt;=0 &amp; =&lt; 4) or (BE=98)
Condition 2.
'Minutes' should (be &gt;=0 &amp; =&lt; 59) or (be=98)</v>
          </cell>
          <cell r="S58" t="str">
            <v xml:space="preserve">Condition 1.
NUMBER OF HOURS SHOULD BE BETWEEN 0 AND 4. PLEASE CHECK
Condition 2.
NUMBER OF MINUTES SHOULD BE BETWEEN 0 AND 59. PLEASE CHECK
</v>
          </cell>
          <cell r="T58" t="str">
            <v>NEW</v>
          </cell>
          <cell r="W58" t="str">
            <v>Done</v>
          </cell>
        </row>
        <row r="59">
          <cell r="A59" t="str">
            <v>HE06</v>
          </cell>
          <cell r="B59">
            <v>49</v>
          </cell>
          <cell r="C59" t="str">
            <v>Economic</v>
          </cell>
          <cell r="D59" t="str">
            <v>Clean Energy</v>
          </cell>
          <cell r="F59" t="str">
            <v>HE06</v>
          </cell>
          <cell r="G59">
            <v>1</v>
          </cell>
          <cell r="H59" t="str">
            <v>OI</v>
          </cell>
          <cell r="I59" t="str">
            <v>In the past 7 days, how many times were there unscheduled outages or blackouts from [response in HE01]?</v>
          </cell>
          <cell r="K59" t="str">
            <v xml:space="preserve">Number of outages or blackouts  _ _
Don’t know / unsure 98
</v>
          </cell>
          <cell r="L59" t="str">
            <v>no changes needed</v>
          </cell>
          <cell r="M59" t="str">
            <v>no changes needed</v>
          </cell>
          <cell r="N59" t="str">
            <v>Range</v>
          </cell>
          <cell r="R59" t="str">
            <v>Condition 1.
Number (should be &gt;= 0 &amp; =&lt;90) OR (be = 98)</v>
          </cell>
          <cell r="S59" t="str">
            <v>Condition 1.
NUMBER SEEMS TO HIGH. PLEASE CHECK</v>
          </cell>
          <cell r="T59" t="str">
            <v>NEW</v>
          </cell>
          <cell r="W59" t="str">
            <v>Done</v>
          </cell>
        </row>
        <row r="60">
          <cell r="A60" t="str">
            <v>HE07</v>
          </cell>
          <cell r="B60">
            <v>50</v>
          </cell>
          <cell r="C60" t="str">
            <v>Economic</v>
          </cell>
          <cell r="D60" t="str">
            <v>Clean Energy</v>
          </cell>
          <cell r="F60" t="str">
            <v>HE07</v>
          </cell>
          <cell r="G60">
            <v>1</v>
          </cell>
          <cell r="H60" t="str">
            <v>OI</v>
          </cell>
          <cell r="I60" t="str">
            <v>To the best of your knowledge, what is the total duration of all the unscheduled outages or blackouts in the past 7 days?</v>
          </cell>
          <cell r="K60" t="str">
            <v>Number 
of hours _ _
Number 
of minutes _ _ _
Does not know / unsure 98
Don’t know for Hours should 998</v>
          </cell>
          <cell r="L60" t="str">
            <v xml:space="preserve">CHANGE THE HINT: 
If Nb of Hours is unknown enter 998
If Nb of Mintes is unknown enter 98
</v>
          </cell>
          <cell r="M60" t="str">
            <v>RECODE MISSING VALUES
'Don't know' for Hours should be 998
'Don't know' for Minutes should be 98</v>
          </cell>
          <cell r="N60" t="str">
            <v>Range</v>
          </cell>
          <cell r="O60" t="str">
            <v>Range</v>
          </cell>
          <cell r="R60" t="str">
            <v>Condition 1.
'Number of hours' should (be &gt;=0 &amp; =&lt; 168 OR) OR (BE=998)  
Condition 2.
'Number of minutes' should (be &gt;= 0 &amp; =&lt; 59) OR (BE=98)</v>
          </cell>
          <cell r="S60" t="str">
            <v xml:space="preserve">Condition 1.
NUMBER OF HOURS SHOULD BE BETWEEN 0 AND 168. PLEASE CHECK
Condition 2.
NUMBER OF MINUTES SHOULD BE BETWEEN 0 AND 59. PLEASE CHECK
</v>
          </cell>
          <cell r="T60" t="str">
            <v>NEW</v>
          </cell>
          <cell r="W60" t="str">
            <v>Done</v>
          </cell>
        </row>
        <row r="61">
          <cell r="A61" t="str">
            <v>HC05</v>
          </cell>
          <cell r="B61">
            <v>51</v>
          </cell>
          <cell r="C61" t="str">
            <v>Economic</v>
          </cell>
          <cell r="D61" t="str">
            <v>Clean Energy</v>
          </cell>
          <cell r="F61" t="str">
            <v>HC05</v>
          </cell>
          <cell r="G61">
            <v>2</v>
          </cell>
          <cell r="H61" t="str">
            <v>OR</v>
          </cell>
          <cell r="I61" t="str">
            <v>How much did this household pay for the fuel or energy source used  during the past 30 days for cooking?</v>
          </cell>
          <cell r="J61" t="str">
            <v>response in local currency</v>
          </cell>
          <cell r="K61" t="str">
            <v>amount in local currency…..
Pays nothing...............00 
Does not know...................99 
Go back to previous missing codes
Don’t know should be 98 and not 99</v>
          </cell>
          <cell r="L61" t="str">
            <v xml:space="preserve">CHANGE THE HINT: 
If household pays nothing, enter 00
If Don't know, enter 98
</v>
          </cell>
          <cell r="M61" t="str">
            <v xml:space="preserve">RECODE MISSING VALUES
Pays nothing, 00
Don’t know, 98
</v>
          </cell>
          <cell r="N61" t="str">
            <v>Range</v>
          </cell>
          <cell r="R61" t="str">
            <v>Condition 1
This number should be (&gt;=0 ) OR be == 98</v>
          </cell>
          <cell r="S61" t="str">
            <v>Condition 1
THE AMOUNT SHOULD BE AT LEAST 0. PLEASE CHECK.</v>
          </cell>
          <cell r="T61" t="str">
            <v>new</v>
          </cell>
          <cell r="U61" t="str">
            <v>country-tailored</v>
          </cell>
          <cell r="V61" t="str">
            <v>leona, petra
The missing codes changed here.</v>
          </cell>
          <cell r="W61" t="str">
            <v>Done</v>
          </cell>
        </row>
        <row r="62">
          <cell r="A62" t="str">
            <v>HC11</v>
          </cell>
          <cell r="B62">
            <v>52</v>
          </cell>
          <cell r="C62" t="str">
            <v>Economic</v>
          </cell>
          <cell r="D62" t="str">
            <v>Clean Energy</v>
          </cell>
          <cell r="F62" t="str">
            <v>HC11</v>
          </cell>
          <cell r="G62">
            <v>3</v>
          </cell>
          <cell r="I62" t="str">
            <v xml:space="preserve">On a single trip, how long does it take for this person to go to collect the fuel, get the fuel, and come back? </v>
          </cell>
          <cell r="J62" t="str">
            <v>Are we missing some indication on how to fill out, hours and/or minutes? Imane</v>
          </cell>
          <cell r="K62" t="str">
            <v>Number of hours........................ __ __
Number of minutes.................... __ __
Does not know/unsure ....................98</v>
          </cell>
          <cell r="L62" t="str">
            <v>check THE HINT: 
If Hours unknown or respondant is unsure enter 98
If Minutes unknown, or respondant is unsure, enter 98</v>
          </cell>
          <cell r="M62" t="str">
            <v>CHECK MISSING VALUES
"Don’t know"should be 98 for Hours
"Don’t know"should be 98 for Minutes</v>
          </cell>
          <cell r="N62" t="str">
            <v>Range</v>
          </cell>
          <cell r="O62" t="str">
            <v>Range</v>
          </cell>
          <cell r="R62" t="str">
            <v>Condition 1.
If 'number of hours' has values, they (should be &gt;=0  &amp;  &lt;=15) or (be=98)
Condition 2. 
If 'number of minutes' has values, they should (be &gt;= 0 &amp; =&lt; 59) (be=98)</v>
          </cell>
          <cell r="S62" t="str">
            <v xml:space="preserve">Condition 1.
NUMBER OF HOURS SHOULD AT LEAST BE ZERO. PLEASE CHECK
Condition 2.
NUMBER OF MINUTES SHOULD BE UP TO 59. PLEASE CHECK
</v>
          </cell>
          <cell r="T62" t="str">
            <v>new</v>
          </cell>
          <cell r="V62" t="str">
            <v>validation changed, to include missing values in Conditions</v>
          </cell>
          <cell r="W62" t="str">
            <v xml:space="preserve">Done </v>
          </cell>
        </row>
        <row r="63">
          <cell r="A63" t="str">
            <v>HHT02</v>
          </cell>
          <cell r="B63">
            <v>53</v>
          </cell>
          <cell r="C63" t="str">
            <v>Economic</v>
          </cell>
          <cell r="D63" t="str">
            <v>Clean Energy</v>
          </cell>
          <cell r="F63" t="str">
            <v>HHT02</v>
          </cell>
          <cell r="G63">
            <v>2</v>
          </cell>
          <cell r="H63" t="str">
            <v>OI</v>
          </cell>
          <cell r="I63" t="str">
            <v>In the last 12 months while living in [host country], during how many months did you use a heating device  or fire to keep the dwelling/living quarters warm?</v>
          </cell>
          <cell r="K63" t="str">
            <v>Number of months  _ _</v>
          </cell>
          <cell r="L63" t="str">
            <v>no changes needed</v>
          </cell>
          <cell r="M63" t="str">
            <v>no changes needed</v>
          </cell>
          <cell r="N63" t="str">
            <v>Range</v>
          </cell>
          <cell r="R63" t="str">
            <v>Number of months' should be &gt;= 0 &amp; =&lt; 12</v>
          </cell>
          <cell r="S63" t="str">
            <v>NUMBER OF MONTHS SHOULD BE BETWEEN 0 AND 12. PLEASE CHECK</v>
          </cell>
          <cell r="T63" t="str">
            <v>New</v>
          </cell>
          <cell r="W63" t="str">
            <v>Done</v>
          </cell>
        </row>
        <row r="64">
          <cell r="A64" t="str">
            <v>HHT03</v>
          </cell>
          <cell r="B64">
            <v>54</v>
          </cell>
          <cell r="C64" t="str">
            <v>Economic</v>
          </cell>
          <cell r="D64" t="str">
            <v>Clean Energy</v>
          </cell>
          <cell r="F64" t="str">
            <v>HHT03</v>
          </cell>
          <cell r="G64">
            <v>1</v>
          </cell>
          <cell r="H64" t="str">
            <v>OI</v>
          </cell>
          <cell r="I64" t="str">
            <v>How many space heaters, or heating devices including cookstoves and open fires, are used in or around the dwelling to produce heat at any time during the year?</v>
          </cell>
          <cell r="K64" t="str">
            <v xml:space="preserve">Number of
 heaters _ _
</v>
          </cell>
          <cell r="L64" t="str">
            <v>no changes needed</v>
          </cell>
          <cell r="M64" t="str">
            <v>no changes needed</v>
          </cell>
          <cell r="N64" t="str">
            <v>Range</v>
          </cell>
          <cell r="R64" t="str">
            <v>Number of heaters' should be &gt;= 0 &amp; &lt;= 15</v>
          </cell>
          <cell r="S64" t="str">
            <v>NUMBER OF HEATERS SEEMS TOO LOW. PLEASE CHECK</v>
          </cell>
          <cell r="T64" t="str">
            <v>New</v>
          </cell>
          <cell r="W64" t="str">
            <v>Done</v>
          </cell>
        </row>
        <row r="65">
          <cell r="A65" t="str">
            <v>HL02</v>
          </cell>
          <cell r="B65">
            <v>55</v>
          </cell>
          <cell r="C65" t="str">
            <v>Economic</v>
          </cell>
          <cell r="D65" t="str">
            <v>Clean Energy</v>
          </cell>
          <cell r="F65" t="str">
            <v>HL02</v>
          </cell>
          <cell r="G65">
            <v>3</v>
          </cell>
          <cell r="H65" t="str">
            <v>OI</v>
          </cell>
          <cell r="I65" t="str">
            <v>How many different sources of light are used in the dwelling/ living quarters?</v>
          </cell>
          <cell r="K65" t="str">
            <v>Number of sources
of light _ _</v>
          </cell>
          <cell r="L65" t="str">
            <v>no changes needed</v>
          </cell>
          <cell r="M65" t="str">
            <v>no changes needed</v>
          </cell>
          <cell r="N65" t="str">
            <v>Range</v>
          </cell>
          <cell r="R65" t="str">
            <v>number…' should be &gt;=0 &amp; &lt;=15</v>
          </cell>
          <cell r="S65" t="str">
            <v>NUMBER OF LIGHT SOURCES SEEMS TOO LOW/TOO HIGH. PLEASE CHECK</v>
          </cell>
          <cell r="T65" t="str">
            <v>NEW</v>
          </cell>
          <cell r="W65" t="str">
            <v>Done</v>
          </cell>
        </row>
        <row r="66">
          <cell r="A66" t="str">
            <v>Assets04a</v>
          </cell>
          <cell r="B66">
            <v>56</v>
          </cell>
          <cell r="C66" t="str">
            <v>Economic</v>
          </cell>
          <cell r="D66" t="str">
            <v>Assets</v>
          </cell>
          <cell r="E66" t="str">
            <v>Assets_hh_cow</v>
          </cell>
          <cell r="F66" t="str">
            <v>Assets04a</v>
          </cell>
          <cell r="G66">
            <v>1</v>
          </cell>
          <cell r="H66" t="str">
            <v>OI</v>
          </cell>
          <cell r="I66" t="str">
            <v xml:space="preserve">Milk cows/bulls  </v>
          </cell>
          <cell r="K66" t="str">
            <v>Nb of cows/bulls:</v>
          </cell>
          <cell r="L66" t="str">
            <v xml:space="preserve">CHANGE THE HINT: 
If number is unknown enter 998
</v>
          </cell>
          <cell r="M66" t="str">
            <v xml:space="preserve">ADD MISSING VALUES
Don’t know should be 998
</v>
          </cell>
          <cell r="N66" t="str">
            <v>Range</v>
          </cell>
          <cell r="R66" t="str">
            <v>Number should be &gt;=0</v>
          </cell>
          <cell r="S66" t="str">
            <v>THIS NUMBER SHOULD BE AT LEAST ZERO. PLEASE CHECK</v>
          </cell>
          <cell r="V66" t="str">
            <v>NOT PENDANT ANYMORE</v>
          </cell>
          <cell r="W66" t="str">
            <v>Done</v>
          </cell>
        </row>
        <row r="67">
          <cell r="A67" t="str">
            <v>Assets04b</v>
          </cell>
          <cell r="B67">
            <v>57</v>
          </cell>
          <cell r="C67" t="str">
            <v>Economic</v>
          </cell>
          <cell r="D67" t="str">
            <v>Assets</v>
          </cell>
          <cell r="E67" t="str">
            <v>Assets_hh_catt</v>
          </cell>
          <cell r="F67" t="str">
            <v>Assets04b</v>
          </cell>
          <cell r="G67">
            <v>1</v>
          </cell>
          <cell r="H67" t="str">
            <v>OI</v>
          </cell>
          <cell r="I67" t="str">
            <v>Other cattle</v>
          </cell>
          <cell r="K67" t="str">
            <v>Nb of other cattle:</v>
          </cell>
          <cell r="N67" t="str">
            <v>Range</v>
          </cell>
          <cell r="R67" t="str">
            <v>Number should be &gt;=0</v>
          </cell>
          <cell r="S67" t="str">
            <v>THIS NUMBER SHOULD BE AT LEAST ZERO. PLEASE CHECK</v>
          </cell>
          <cell r="V67" t="str">
            <v>NOT PENDANT ANYMORE</v>
          </cell>
          <cell r="W67" t="str">
            <v>Done</v>
          </cell>
        </row>
        <row r="68">
          <cell r="A68" t="str">
            <v>Assets04c</v>
          </cell>
          <cell r="B68">
            <v>58</v>
          </cell>
          <cell r="C68" t="str">
            <v>Economic</v>
          </cell>
          <cell r="D68" t="str">
            <v>Assets</v>
          </cell>
          <cell r="E68" t="str">
            <v>Assets_hh_hdm</v>
          </cell>
          <cell r="F68" t="str">
            <v>Assets04c</v>
          </cell>
          <cell r="G68">
            <v>1</v>
          </cell>
          <cell r="H68" t="str">
            <v>OI</v>
          </cell>
          <cell r="I68" t="str">
            <v>Horses, donkeys, or mules</v>
          </cell>
          <cell r="K68" t="str">
            <v>Nb of horses/donkeys/mules:</v>
          </cell>
          <cell r="N68" t="str">
            <v>Range</v>
          </cell>
          <cell r="R68" t="str">
            <v>Number should be &gt;=0</v>
          </cell>
          <cell r="S68" t="str">
            <v>THIS NUMBER SHOULD BE AT LEAST ZERO. PLEASE CHECK</v>
          </cell>
          <cell r="V68" t="str">
            <v>NOT PENDANT ANYMORE</v>
          </cell>
          <cell r="W68" t="str">
            <v>Done</v>
          </cell>
        </row>
        <row r="69">
          <cell r="A69" t="str">
            <v>Assets04d</v>
          </cell>
          <cell r="B69">
            <v>59</v>
          </cell>
          <cell r="C69" t="str">
            <v>Economic</v>
          </cell>
          <cell r="D69" t="str">
            <v>Assets</v>
          </cell>
          <cell r="E69" t="str">
            <v>Assets_hh_goat</v>
          </cell>
          <cell r="F69" t="str">
            <v>Assets04d</v>
          </cell>
          <cell r="G69">
            <v>1</v>
          </cell>
          <cell r="H69" t="str">
            <v>OI</v>
          </cell>
          <cell r="I69" t="str">
            <v xml:space="preserve">Goats </v>
          </cell>
          <cell r="K69" t="str">
            <v>Nb of goats:</v>
          </cell>
          <cell r="N69" t="str">
            <v>Range</v>
          </cell>
          <cell r="R69" t="str">
            <v>Number should be &gt;=0</v>
          </cell>
          <cell r="S69" t="str">
            <v>THIS NUMBER SHOULD BE AT LEAST ZERO. PLEASE CHECK</v>
          </cell>
          <cell r="V69" t="str">
            <v>NOT PENDANT ANYMORE</v>
          </cell>
          <cell r="W69" t="str">
            <v>Done</v>
          </cell>
        </row>
        <row r="70">
          <cell r="A70" t="str">
            <v>Assets04e</v>
          </cell>
          <cell r="B70">
            <v>60</v>
          </cell>
          <cell r="C70" t="str">
            <v>Economic</v>
          </cell>
          <cell r="D70" t="str">
            <v>Assets</v>
          </cell>
          <cell r="E70" t="str">
            <v>Assets_hh_sheep</v>
          </cell>
          <cell r="F70" t="str">
            <v>Assets04e</v>
          </cell>
          <cell r="G70">
            <v>1</v>
          </cell>
          <cell r="H70" t="str">
            <v>OI</v>
          </cell>
          <cell r="I70" t="str">
            <v>Sheep</v>
          </cell>
          <cell r="K70" t="str">
            <v>Nb of sheep:</v>
          </cell>
          <cell r="N70" t="str">
            <v>Range</v>
          </cell>
          <cell r="R70" t="str">
            <v>Number should be &gt;=0</v>
          </cell>
          <cell r="S70" t="str">
            <v>THIS NUMBER SHOULD BE AT LEAST ZERO. PLEASE CHECK</v>
          </cell>
          <cell r="V70" t="str">
            <v>NOT PENDANT ANYMORE</v>
          </cell>
          <cell r="W70" t="str">
            <v>Done</v>
          </cell>
        </row>
        <row r="71">
          <cell r="A71" t="str">
            <v>Assets04f</v>
          </cell>
          <cell r="B71">
            <v>61</v>
          </cell>
          <cell r="C71" t="str">
            <v>Economic</v>
          </cell>
          <cell r="D71" t="str">
            <v>Assets</v>
          </cell>
          <cell r="E71" t="str">
            <v>Assets_hh_chick</v>
          </cell>
          <cell r="F71" t="str">
            <v>Assets04f</v>
          </cell>
          <cell r="G71">
            <v>1</v>
          </cell>
          <cell r="H71" t="str">
            <v>OI</v>
          </cell>
          <cell r="I71" t="str">
            <v>Chickens or other poultry</v>
          </cell>
          <cell r="K71" t="str">
            <v>Nb of chickens/other poultry:</v>
          </cell>
          <cell r="N71" t="str">
            <v>Range</v>
          </cell>
          <cell r="R71" t="str">
            <v>Number should be &gt;=0</v>
          </cell>
          <cell r="S71" t="str">
            <v>THIS NUMBER SHOULD BE AT LEAST ZERO. PLEASE CHECK</v>
          </cell>
          <cell r="V71" t="str">
            <v>NOT PENDANT ANYMORE</v>
          </cell>
          <cell r="W71" t="str">
            <v>Done</v>
          </cell>
        </row>
        <row r="72">
          <cell r="A72" t="str">
            <v>Assets04g</v>
          </cell>
          <cell r="B72">
            <v>62</v>
          </cell>
          <cell r="C72" t="str">
            <v>Economic</v>
          </cell>
          <cell r="D72" t="str">
            <v>Assets</v>
          </cell>
          <cell r="E72" t="str">
            <v>Assets_hh_pork</v>
          </cell>
          <cell r="F72" t="str">
            <v>Assets04g</v>
          </cell>
          <cell r="G72">
            <v>1</v>
          </cell>
          <cell r="H72" t="str">
            <v>OI</v>
          </cell>
          <cell r="I72" t="str">
            <v>Pigs</v>
          </cell>
          <cell r="K72" t="str">
            <v>Nb of pigs:</v>
          </cell>
          <cell r="N72" t="str">
            <v>Range</v>
          </cell>
          <cell r="R72" t="str">
            <v>Number should be &gt;=0</v>
          </cell>
          <cell r="S72" t="str">
            <v>THIS NUMBER SHOULD BE AT LEAST ZERO. PLEASE CHECK</v>
          </cell>
          <cell r="V72" t="str">
            <v>NOT PENDANT ANYMORE</v>
          </cell>
          <cell r="W72" t="str">
            <v>Done</v>
          </cell>
        </row>
        <row r="73">
          <cell r="A73" t="str">
            <v>Assets04h</v>
          </cell>
          <cell r="B73">
            <v>63</v>
          </cell>
          <cell r="C73" t="str">
            <v>Economic</v>
          </cell>
          <cell r="D73" t="str">
            <v>Assets</v>
          </cell>
          <cell r="E73" t="str">
            <v>Assets_hh_camel</v>
          </cell>
          <cell r="F73" t="str">
            <v>Assets04h</v>
          </cell>
          <cell r="G73">
            <v>1</v>
          </cell>
          <cell r="H73" t="str">
            <v>OI</v>
          </cell>
          <cell r="I73" t="str">
            <v>Camels</v>
          </cell>
          <cell r="K73" t="str">
            <v>Nb of camels:</v>
          </cell>
          <cell r="N73" t="str">
            <v>Range</v>
          </cell>
          <cell r="R73" t="str">
            <v>Number should be &gt;=0</v>
          </cell>
          <cell r="S73" t="str">
            <v>THIS NUMBER SHOULD BE AT LEAST ZERO. PLEASE CHECK</v>
          </cell>
          <cell r="V73" t="str">
            <v>NOT PENDANT ANYMORE</v>
          </cell>
          <cell r="W73" t="str">
            <v>Done</v>
          </cell>
        </row>
        <row r="74">
          <cell r="A74" t="str">
            <v>Land09</v>
          </cell>
          <cell r="B74">
            <v>64</v>
          </cell>
          <cell r="C74" t="str">
            <v>Economic</v>
          </cell>
          <cell r="D74" t="str">
            <v>Land and Property</v>
          </cell>
          <cell r="E74" t="str">
            <v>Land_plot_use</v>
          </cell>
          <cell r="F74" t="str">
            <v>Land09</v>
          </cell>
          <cell r="G74">
            <v>1</v>
          </cell>
          <cell r="H74" t="str">
            <v>MS</v>
          </cell>
          <cell r="I74" t="str">
            <v>What is (are) the current use(s) of [plot name]?</v>
          </cell>
          <cell r="J74" t="str">
            <v>Mark all that apply.</v>
          </cell>
          <cell r="K74" t="str">
            <v>A. Residential
B.Agricultural /horticulture 
C. Pastoral 
D. Forest
E.Business /commercial 
F. Rented out 
OT.Other: specify 
DK. Don’t know 
RF. Refuse to answer</v>
          </cell>
          <cell r="N74" t="str">
            <v>MS 
(If DK or RF are selected)</v>
          </cell>
          <cell r="R74" t="str">
            <v>Condition 1.
If "DK" OR "RF" are selected, then no other response should be selected at the same time</v>
          </cell>
          <cell r="S74" t="str">
            <v xml:space="preserve">Conditon 1.
THE COMBINATION OF ANSWERS YOU HAVE CHOSEN IS NOT POSSIBLE. PLEASE CHECK
</v>
          </cell>
          <cell r="T74" t="str">
            <v>Condition 1.
LSMS 2015 (Both for validation and message)</v>
          </cell>
          <cell r="W74" t="str">
            <v>Done</v>
          </cell>
        </row>
        <row r="75">
          <cell r="A75" t="str">
            <v>Land12a</v>
          </cell>
          <cell r="B75">
            <v>65</v>
          </cell>
          <cell r="C75" t="str">
            <v>Economic</v>
          </cell>
          <cell r="D75" t="str">
            <v>Land and Property</v>
          </cell>
          <cell r="E75" t="str">
            <v>Land_plot_doc</v>
          </cell>
          <cell r="F75" t="str">
            <v>Land12a</v>
          </cell>
          <cell r="G75">
            <v>3</v>
          </cell>
          <cell r="H75" t="str">
            <v>MS</v>
          </cell>
          <cell r="I75" t="str">
            <v xml:space="preserve">What type of documents does your household have for [plot name]?  </v>
          </cell>
          <cell r="J75" t="str">
            <v xml:space="preserve">Mark up to 3 documents. </v>
          </cell>
          <cell r="K75"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I. note on a sharecropping arrangement 
OT.Other: specify 
DK.Don’t know 
RF. Refuse to answer</v>
          </cell>
          <cell r="N75" t="str">
            <v>MS 
(If DK or RF are selected)</v>
          </cell>
          <cell r="O75" t="str">
            <v>MS 
(up to 3 responses)</v>
          </cell>
          <cell r="R75" t="str">
            <v>Condition 1.
If "DK" OR "RF" are selected, then no other response should be selected at the same time
Condition 2.
If neither "DK" NOR "RF" are selected, number of selected responses should be &gt;=1 &amp; =&lt; 3</v>
          </cell>
          <cell r="S75" t="str">
            <v>Conditon 1.
THE COMBINATION OF ANSWERS YOU HAVE CHOSEN IS NOT POSSIBLE. PLEASE CHECK
Condition 2.
YOU CAN ONLY SELECT UP TO 3 RESPONSES. PLEASE CHECK</v>
          </cell>
          <cell r="T75" t="str">
            <v>Condition 1.
LSMS 2015 (Both for validation and message)
Condition 2.
New</v>
          </cell>
          <cell r="W75" t="str">
            <v>Done</v>
          </cell>
        </row>
        <row r="76">
          <cell r="A76" t="str">
            <v>Land24</v>
          </cell>
          <cell r="B76">
            <v>66</v>
          </cell>
          <cell r="C76" t="str">
            <v>Economic</v>
          </cell>
          <cell r="D76" t="str">
            <v>Land and Property</v>
          </cell>
          <cell r="E76" t="str">
            <v>Land_plot_d3who</v>
          </cell>
          <cell r="F76" t="str">
            <v>Land24</v>
          </cell>
          <cell r="G76">
            <v>3</v>
          </cell>
          <cell r="H76" t="str">
            <v>MS</v>
          </cell>
          <cell r="I76" t="str">
            <v>Who was involved ?</v>
          </cell>
          <cell r="J76" t="str">
            <v>we are mising an indication:"mark all that apply"?</v>
          </cell>
          <cell r="K76" t="str">
            <v>A. a community of elders 
B.  a leader from your own refugee community 
C. a religious leader 
D. the local council/village leader 
E. a clan leader 
F. a court of justice 
OT. Other : specify 
DK. Don’t know 
RF. Refuse to answer</v>
          </cell>
          <cell r="N76" t="str">
            <v>MS 
(If DK or RF are selected)</v>
          </cell>
          <cell r="R76" t="str">
            <v xml:space="preserve">Condition 1.
If "DK" OR "RF" are selected, then no other response should be selected at the same time </v>
          </cell>
          <cell r="S76" t="str">
            <v>Condition 1.
THE COMBINATION OF ANSWERS YOU HAVE CHOSEN IS NOT POSSIBLE. PLEASE CHECK</v>
          </cell>
          <cell r="T76" t="str">
            <v>Condition 1.
LSMS 2015 (Both for validation and message)</v>
          </cell>
        </row>
        <row r="77">
          <cell r="A77" t="str">
            <v>House06</v>
          </cell>
          <cell r="B77">
            <v>67</v>
          </cell>
          <cell r="C77" t="str">
            <v>Economic</v>
          </cell>
          <cell r="D77" t="str">
            <v>Land and Property</v>
          </cell>
          <cell r="E77" t="str">
            <v>House_doc</v>
          </cell>
          <cell r="F77" t="str">
            <v>House06</v>
          </cell>
          <cell r="G77">
            <v>3</v>
          </cell>
          <cell r="H77" t="str">
            <v>MS</v>
          </cell>
          <cell r="I77" t="str">
            <v xml:space="preserve">What type of documents does your household have for the housing you live in?  </v>
          </cell>
          <cell r="J77" t="str">
            <v>we are mising an indication:"mark all that apply"?</v>
          </cell>
          <cell r="K77" t="str">
            <v>CERTIFICATES
A. certificate of customary ownership 
B. certificate of occupancy 
C. certificate of hereditary acquisition listed in registry
RENTAL CONTRACT/LEASE  
D. rental contract registered 
E. rental contract unregistered 
F. lease registered
OTHER DOCUMENTS
G. title deed
H. survey plan  
OT.Other: specify 
DK.Don’t know 
RF. Refuse to answer</v>
          </cell>
          <cell r="N77" t="str">
            <v>MS 
(If DK or RF are selected)</v>
          </cell>
          <cell r="R77" t="str">
            <v>Condition 1.
If "DK" OR "RF" are selected, then no other response should be selected at the same time 
Condition 2.
If neither "DK" NOR "RF" are selected, number of selected responses should be &gt;=1 &amp; =&lt; 3</v>
          </cell>
          <cell r="S77" t="str">
            <v xml:space="preserve">Condition 1.
THE COMBINATION OF ANSWERS YOU HAVE CHOSEN IS NOT POSSIBLE. PLEASE CHECK
Condition 2.
YOU CAN ONLY SELECT UP TO 3 RESPONSES. PLEASE CHECK
</v>
          </cell>
          <cell r="T77" t="str">
            <v>Condition 1.
LSMS 2015 (Both for validation and message)</v>
          </cell>
          <cell r="W77" t="str">
            <v>Done</v>
          </cell>
        </row>
        <row r="78">
          <cell r="A78" t="str">
            <v>House17</v>
          </cell>
          <cell r="B78">
            <v>68</v>
          </cell>
          <cell r="C78" t="str">
            <v>Economic</v>
          </cell>
          <cell r="D78" t="str">
            <v>Land and Property</v>
          </cell>
          <cell r="E78" t="str">
            <v>House_rlenght</v>
          </cell>
          <cell r="F78" t="str">
            <v>House17</v>
          </cell>
          <cell r="G78">
            <v>3</v>
          </cell>
          <cell r="H78" t="str">
            <v>OI</v>
          </cell>
          <cell r="I78" t="str">
            <v>To the best of your knowledge, how long is the period covered by one rental payment?</v>
          </cell>
          <cell r="K78" t="str">
            <v xml:space="preserve"> NB of [days/weeks/months]: 
ADD Don’t know 998
</v>
          </cell>
          <cell r="L78" t="str">
            <v>ADD HINT
If Number unknown enter 998</v>
          </cell>
          <cell r="M78" t="str">
            <v>Code for Don’t know if 998</v>
          </cell>
          <cell r="N78" t="str">
            <v xml:space="preserve">Range - INTER-QUESTION 
within same Module
</v>
          </cell>
          <cell r="O78" t="str">
            <v xml:space="preserve">Range - INTER-QUESTION 
within same Module
</v>
          </cell>
          <cell r="P78" t="str">
            <v xml:space="preserve">Range - INTER-QUESTION 
within same Module
</v>
          </cell>
          <cell r="R78" t="str">
            <v>Condition 1.
If code 1 in House_runit, then Number should (be &gt;0 and  =&lt; 365) OR BE=998
Condition 2.
If code 2 in House_runit, then (Number should be &gt;0 and =&lt; 52) OR (BE=998)
Condition 3.
If code 3 in House_runit, then (Number should be &gt;0 and =&lt; 12) OR BE=998</v>
          </cell>
          <cell r="S78" t="str">
            <v xml:space="preserve">Condition 1, 2 &amp; 3.
CONSIDERING  THE ANSWER TO PREVIOUS QUESTION, THIS NUMBER SEEMS TOO LOW/HIGH. PLEASE CHECK
</v>
          </cell>
          <cell r="V78" t="str">
            <v>I am considering a rental payment of one year as maximum.</v>
          </cell>
          <cell r="W78" t="str">
            <v>Done</v>
          </cell>
        </row>
        <row r="79">
          <cell r="A79" t="str">
            <v>House18a</v>
          </cell>
          <cell r="B79">
            <v>69</v>
          </cell>
          <cell r="C79" t="str">
            <v>Economic</v>
          </cell>
          <cell r="D79" t="str">
            <v>Land and Property</v>
          </cell>
          <cell r="E79" t="str">
            <v>House_rinc</v>
          </cell>
          <cell r="F79" t="str">
            <v>House18a</v>
          </cell>
          <cell r="G79">
            <v>3</v>
          </cell>
          <cell r="H79" t="str">
            <v>OI</v>
          </cell>
          <cell r="I79" t="str">
            <v>Approximately, what percentage of your household monthly total income does one rental payment represent?</v>
          </cell>
          <cell r="K79" t="str">
            <v>Percentage: 
-98.  Don’t know
Change -98 to 998</v>
          </cell>
          <cell r="L79" t="str">
            <v xml:space="preserve">CHANGE THE HINT: 
If Percentage is unknown enter 998
</v>
          </cell>
          <cell r="M79" t="str">
            <v xml:space="preserve">RECODE MISSING VALUES
'Don't know'  should be 998 </v>
          </cell>
          <cell r="N79" t="str">
            <v>Range</v>
          </cell>
          <cell r="R79" t="str">
            <v>Percentage' (should be &gt;= 0 &amp; =&lt; 100) OR (be = 998)</v>
          </cell>
          <cell r="S79" t="str">
            <v>THE PERCENTAGE SHOULD BE BETWEEN 0 AND 100. PLEASE CHECK</v>
          </cell>
          <cell r="T79" t="str">
            <v>new</v>
          </cell>
          <cell r="W79" t="str">
            <v>Done</v>
          </cell>
        </row>
        <row r="80">
          <cell r="A80" t="str">
            <v>House18b</v>
          </cell>
          <cell r="B80">
            <v>70</v>
          </cell>
          <cell r="C80" t="str">
            <v>Economic</v>
          </cell>
          <cell r="D80" t="str">
            <v>Land and Property</v>
          </cell>
          <cell r="E80" t="str">
            <v>House_rwork</v>
          </cell>
          <cell r="F80" t="str">
            <v>House18b</v>
          </cell>
          <cell r="G80">
            <v>3</v>
          </cell>
          <cell r="H80" t="str">
            <v>OI</v>
          </cell>
          <cell r="I80" t="str">
            <v xml:space="preserve">Approximately for how many days you and other members of your household  have to work to cover one rental payment? </v>
          </cell>
          <cell r="K80" t="str">
            <v>Nb of working days:
ADD a Don’t know 998</v>
          </cell>
          <cell r="L80" t="str">
            <v>ADD HINT: 
If Number is unknown enter 998</v>
          </cell>
          <cell r="M80" t="str">
            <v>ADD MISSING VALUES
'Don't know' should be 998</v>
          </cell>
          <cell r="N80" t="str">
            <v>Range</v>
          </cell>
          <cell r="R80" t="str">
            <v>Number should (be &gt;= 0 &amp; =&lt;365) or (BE=998)</v>
          </cell>
          <cell r="S80" t="str">
            <v>NUMBER OF DAYS SEEMS TOO LOW/HIGH. PLEASE CHECK</v>
          </cell>
          <cell r="T80" t="str">
            <v>new</v>
          </cell>
          <cell r="W80" t="str">
            <v>DOne</v>
          </cell>
        </row>
        <row r="81">
          <cell r="A81" t="str">
            <v>House20</v>
          </cell>
          <cell r="B81">
            <v>71</v>
          </cell>
          <cell r="C81" t="str">
            <v>Economic</v>
          </cell>
          <cell r="D81" t="str">
            <v>Land and Property</v>
          </cell>
          <cell r="E81" t="str">
            <v>House_atype</v>
          </cell>
          <cell r="F81" t="str">
            <v>House20</v>
          </cell>
          <cell r="G81">
            <v>1</v>
          </cell>
          <cell r="H81" t="str">
            <v>MS</v>
          </cell>
          <cell r="I81" t="str">
            <v xml:space="preserve">From whom do you or any member of your household get this assistance? </v>
          </cell>
          <cell r="J81" t="str">
            <v>we are mising an indication:"mark all that apply"?</v>
          </cell>
          <cell r="K81" t="str">
            <v>A. cash for rent programme 
B. any other programme from NGOs 
C. subsidized state housing 
D. remittances from family, friends, or any relatives 
OT. Other: specify 
DK. Don’t know 
RF. Refuse to answer</v>
          </cell>
          <cell r="N81" t="str">
            <v>MS 
(If DK or RF are selected)</v>
          </cell>
          <cell r="R81" t="str">
            <v xml:space="preserve">Condition 1.
If "DK" OR "RF" are selected, then no other response should be selected at the same time </v>
          </cell>
          <cell r="S81" t="str">
            <v>Condition 1.
THE COMBINATION OF ANSWERS YOU HAVE CHOSEN IS NOT POSSIBLE. PLEASE CHECK</v>
          </cell>
          <cell r="T81" t="str">
            <v>Condition 1.
LSMS 2015 (Both for validation and message)</v>
          </cell>
          <cell r="W81" t="str">
            <v>Done</v>
          </cell>
        </row>
        <row r="82">
          <cell r="A82" t="str">
            <v>House21</v>
          </cell>
          <cell r="B82">
            <v>72</v>
          </cell>
          <cell r="C82" t="str">
            <v>Economic</v>
          </cell>
          <cell r="D82" t="str">
            <v>Land and Property</v>
          </cell>
          <cell r="E82" t="str">
            <v>House_asuf</v>
          </cell>
          <cell r="F82" t="str">
            <v>House21</v>
          </cell>
          <cell r="G82">
            <v>2</v>
          </cell>
          <cell r="H82" t="str">
            <v>SS
should it say "MS'? Doesn’t seem like</v>
          </cell>
          <cell r="I82" t="str">
            <v xml:space="preserve">Is this assistance sufficient to cover the entire rent, more than half, about half or less than half of the rent? </v>
          </cell>
          <cell r="J82" t="str">
            <v>Mark all that apply
This was in yellow, but if question is SS then we don’t need this indication</v>
          </cell>
          <cell r="K82" t="str">
            <v>1. entire amount 
2. more than half 
3. about half 
4. less than half 
98. Don’t know 
99. Refuse to answer</v>
          </cell>
          <cell r="R82" t="str">
            <v>No validation needed</v>
          </cell>
          <cell r="W82" t="str">
            <v>Done</v>
          </cell>
        </row>
        <row r="83">
          <cell r="A83" t="str">
            <v>Food01c</v>
          </cell>
          <cell r="B83">
            <v>73</v>
          </cell>
          <cell r="C83" t="str">
            <v>Economic</v>
          </cell>
          <cell r="D83" t="str">
            <v>Food and Nutrition</v>
          </cell>
          <cell r="E83" t="str">
            <v>Food_sec1_freq7</v>
          </cell>
          <cell r="F83" t="str">
            <v>Food01c</v>
          </cell>
          <cell r="G83">
            <v>1</v>
          </cell>
          <cell r="H83" t="str">
            <v>OI</v>
          </cell>
          <cell r="I83" t="str">
            <v>During the past 7 days, how many days did you worry that your household would not have enough food or money for food?</v>
          </cell>
          <cell r="K83" t="str">
            <v>Number of days:</v>
          </cell>
          <cell r="N83" t="str">
            <v>Range</v>
          </cell>
          <cell r="R83" t="str">
            <v xml:space="preserve">number..' should be &gt;0 &amp;=&lt; 7 </v>
          </cell>
          <cell r="S83" t="str">
            <v>NUMBER SEEMS TOO LOW/HIGH. PLEASE CHECK</v>
          </cell>
          <cell r="T83" t="str">
            <v>NEW</v>
          </cell>
          <cell r="V83" t="str">
            <v>NOT PENDANT ANYMORE</v>
          </cell>
          <cell r="W83" t="str">
            <v>Done</v>
          </cell>
        </row>
        <row r="84">
          <cell r="A84" t="str">
            <v>Food02c</v>
          </cell>
          <cell r="B84">
            <v>74</v>
          </cell>
          <cell r="C84" t="str">
            <v>Economic</v>
          </cell>
          <cell r="D84" t="str">
            <v>Food and Nutrition</v>
          </cell>
          <cell r="E84" t="str">
            <v>Food_sec2_freq7</v>
          </cell>
          <cell r="F84" t="str">
            <v>Food02c</v>
          </cell>
          <cell r="G84">
            <v>1</v>
          </cell>
          <cell r="H84" t="str">
            <v>OI</v>
          </cell>
          <cell r="I84" t="str">
            <v xml:space="preserve">During the past 7 days, how many days did you or any household member have to eat less preferred and less expensive foods?   </v>
          </cell>
          <cell r="K84" t="str">
            <v>Number of days:</v>
          </cell>
          <cell r="N84" t="str">
            <v>Range</v>
          </cell>
          <cell r="R84" t="str">
            <v xml:space="preserve">number..' should be &gt;0 &amp;=&lt; 7 </v>
          </cell>
          <cell r="S84" t="str">
            <v>NUMBER SEEMS TOO LOW/HIGH. PLEASE CHECK</v>
          </cell>
          <cell r="T84" t="str">
            <v>NEW</v>
          </cell>
          <cell r="V84" t="str">
            <v>NOT PENDANT ANYMORE</v>
          </cell>
          <cell r="W84" t="str">
            <v>Done</v>
          </cell>
        </row>
        <row r="85">
          <cell r="A85" t="str">
            <v>Food03c</v>
          </cell>
          <cell r="B85">
            <v>75</v>
          </cell>
          <cell r="C85" t="str">
            <v>Economic</v>
          </cell>
          <cell r="D85" t="str">
            <v>Food and Nutrition</v>
          </cell>
          <cell r="E85" t="str">
            <v>Food_sec3_freq7</v>
          </cell>
          <cell r="F85" t="str">
            <v>Food03c</v>
          </cell>
          <cell r="G85">
            <v>1</v>
          </cell>
          <cell r="H85" t="str">
            <v>OI</v>
          </cell>
          <cell r="I85" t="str">
            <v xml:space="preserve">During the past 7 days, how many days did you or any household member have to eat a limited variety of foods ?   </v>
          </cell>
          <cell r="K85" t="str">
            <v>Number of days:</v>
          </cell>
          <cell r="N85" t="str">
            <v>Range</v>
          </cell>
          <cell r="R85" t="str">
            <v xml:space="preserve">number..' should be &gt;0 &amp;=&lt; 7 </v>
          </cell>
          <cell r="S85" t="str">
            <v>NUMBER SEEMS TOO LOW/HIGH. PLEASE CHECK</v>
          </cell>
          <cell r="T85" t="str">
            <v>NEW</v>
          </cell>
          <cell r="V85" t="str">
            <v>NOT PENDANT ANYMORE</v>
          </cell>
          <cell r="W85" t="str">
            <v>Done</v>
          </cell>
        </row>
        <row r="86">
          <cell r="A86" t="str">
            <v>Food04c</v>
          </cell>
          <cell r="B86">
            <v>76</v>
          </cell>
          <cell r="C86" t="str">
            <v>Economic</v>
          </cell>
          <cell r="D86" t="str">
            <v>Food and Nutrition</v>
          </cell>
          <cell r="E86" t="str">
            <v>Food_sec4_freq7</v>
          </cell>
          <cell r="F86" t="str">
            <v>Food04c</v>
          </cell>
          <cell r="G86">
            <v>1</v>
          </cell>
          <cell r="H86" t="str">
            <v>OI</v>
          </cell>
          <cell r="I86" t="str">
            <v xml:space="preserve">During the past 7 days, how many days did you or any household member have to eat some foods that you really did not want to eat?   </v>
          </cell>
          <cell r="K86" t="str">
            <v>Number of days:</v>
          </cell>
          <cell r="N86" t="str">
            <v>Range</v>
          </cell>
          <cell r="R86" t="str">
            <v xml:space="preserve">number..' should be &gt;0 &amp;=&lt; 7 </v>
          </cell>
          <cell r="S86" t="str">
            <v>NUMBER SEEMS TOO LOW/HIGH. PLEASE CHECK</v>
          </cell>
          <cell r="T86" t="str">
            <v>NEW</v>
          </cell>
          <cell r="V86" t="str">
            <v>NOT PENDANT ANYMORE</v>
          </cell>
          <cell r="W86" t="str">
            <v>Done</v>
          </cell>
        </row>
        <row r="87">
          <cell r="A87" t="str">
            <v>Food05c</v>
          </cell>
          <cell r="B87">
            <v>77</v>
          </cell>
          <cell r="C87" t="str">
            <v>Economic</v>
          </cell>
          <cell r="D87" t="str">
            <v>Food and Nutrition</v>
          </cell>
          <cell r="E87" t="str">
            <v>Food_sec5_freq7</v>
          </cell>
          <cell r="F87" t="str">
            <v>Food05c</v>
          </cell>
          <cell r="G87">
            <v>1</v>
          </cell>
          <cell r="H87" t="str">
            <v>OI</v>
          </cell>
          <cell r="I87" t="str">
            <v xml:space="preserve">During the past 7 days, how many days did your household had to borrow food or rely on help from a relative or friend to get more food or money to buy food?   </v>
          </cell>
          <cell r="K87" t="str">
            <v>Number of days:</v>
          </cell>
          <cell r="N87" t="str">
            <v>Range</v>
          </cell>
          <cell r="R87" t="str">
            <v xml:space="preserve">number..' should be &gt;0 &amp;=&lt; 7 </v>
          </cell>
          <cell r="S87" t="str">
            <v>NUMBER SEEMS TOO LOW/HIGH. PLEASE CHECK</v>
          </cell>
          <cell r="T87" t="str">
            <v>NEW</v>
          </cell>
          <cell r="V87" t="str">
            <v>NOT PENDANT ANYMORE</v>
          </cell>
          <cell r="W87" t="str">
            <v>Done</v>
          </cell>
        </row>
        <row r="88">
          <cell r="A88" t="str">
            <v>Food06c</v>
          </cell>
          <cell r="B88">
            <v>78</v>
          </cell>
          <cell r="C88" t="str">
            <v>Economic</v>
          </cell>
          <cell r="D88" t="str">
            <v>Food and Nutrition</v>
          </cell>
          <cell r="E88" t="str">
            <v>Food_sec6_freq7</v>
          </cell>
          <cell r="F88" t="str">
            <v>Food06c</v>
          </cell>
          <cell r="G88">
            <v>1</v>
          </cell>
          <cell r="H88" t="str">
            <v>OI</v>
          </cell>
          <cell r="I88" t="str">
            <v xml:space="preserve">During the past 7 days, how many days did you or any household member have to eat a smaller meal than you felt you needed ?   </v>
          </cell>
          <cell r="K88" t="str">
            <v>Number of days:</v>
          </cell>
          <cell r="N88" t="str">
            <v>Range</v>
          </cell>
          <cell r="R88" t="str">
            <v xml:space="preserve">number..' should be &gt;0 &amp;=&lt; 7 </v>
          </cell>
          <cell r="S88" t="str">
            <v>NUMBER SEEMS TOO LOW/HIGH. PLEASE CHECK</v>
          </cell>
          <cell r="T88" t="str">
            <v>NEW</v>
          </cell>
          <cell r="V88" t="str">
            <v>NOT PENDANT ANYMORE</v>
          </cell>
          <cell r="W88" t="str">
            <v>Done</v>
          </cell>
        </row>
        <row r="89">
          <cell r="A89" t="str">
            <v>Food07c</v>
          </cell>
          <cell r="B89">
            <v>79</v>
          </cell>
          <cell r="C89" t="str">
            <v>Economic</v>
          </cell>
          <cell r="D89" t="str">
            <v>Food and Nutrition</v>
          </cell>
          <cell r="E89" t="str">
            <v>Food_sec7_freq7</v>
          </cell>
          <cell r="F89" t="str">
            <v>Food07c</v>
          </cell>
          <cell r="G89">
            <v>1</v>
          </cell>
          <cell r="H89" t="str">
            <v>OI</v>
          </cell>
          <cell r="I89" t="str">
            <v xml:space="preserve">During the past 7 days, how many days did the adults in your household had to eat less in order to have more food for children under 5?   </v>
          </cell>
          <cell r="K89" t="str">
            <v>Number of days:</v>
          </cell>
          <cell r="N89" t="str">
            <v>Range</v>
          </cell>
          <cell r="R89" t="str">
            <v xml:space="preserve">number..' should be &gt;0 &amp;=&lt; 7 </v>
          </cell>
          <cell r="S89" t="str">
            <v>NUMBER SEEMS TOO LOW/HIGH. PLEASE CHECK</v>
          </cell>
          <cell r="T89" t="str">
            <v>NEW</v>
          </cell>
          <cell r="V89" t="str">
            <v>NOT PENDANT ANYMORE</v>
          </cell>
          <cell r="W89" t="str">
            <v>Done</v>
          </cell>
        </row>
        <row r="90">
          <cell r="A90" t="str">
            <v>Food08c</v>
          </cell>
          <cell r="B90">
            <v>80</v>
          </cell>
          <cell r="C90" t="str">
            <v>Economic</v>
          </cell>
          <cell r="D90" t="str">
            <v>Food and Nutrition</v>
          </cell>
          <cell r="E90" t="str">
            <v>Food_sec8_freq7</v>
          </cell>
          <cell r="F90" t="str">
            <v>Food08c</v>
          </cell>
          <cell r="G90">
            <v>1</v>
          </cell>
          <cell r="H90" t="str">
            <v>OI</v>
          </cell>
          <cell r="I90" t="str">
            <v xml:space="preserve">During the past 7 days, how many days did you or any household member have to eat fewer meals in a day?   </v>
          </cell>
          <cell r="K90" t="str">
            <v>Number of days:</v>
          </cell>
          <cell r="N90" t="str">
            <v>Range</v>
          </cell>
          <cell r="R90" t="str">
            <v xml:space="preserve">number..' should be &gt;0 &amp;=&lt; 7 </v>
          </cell>
          <cell r="S90" t="str">
            <v>NUMBER SEEMS TOO LOW/HIGH. PLEASE CHECK</v>
          </cell>
          <cell r="T90" t="str">
            <v>NEW</v>
          </cell>
          <cell r="V90" t="str">
            <v>NOT PENDANT ANYMORE</v>
          </cell>
          <cell r="W90" t="str">
            <v>Done</v>
          </cell>
        </row>
        <row r="91">
          <cell r="A91" t="str">
            <v>Food09c</v>
          </cell>
          <cell r="B91">
            <v>81</v>
          </cell>
          <cell r="C91" t="str">
            <v>Economic</v>
          </cell>
          <cell r="D91" t="str">
            <v>Food and Nutrition</v>
          </cell>
          <cell r="E91" t="str">
            <v>Food_sec9_freq7</v>
          </cell>
          <cell r="F91" t="str">
            <v>Food09c</v>
          </cell>
          <cell r="G91">
            <v>1</v>
          </cell>
          <cell r="H91" t="str">
            <v>OI</v>
          </cell>
          <cell r="I91" t="str">
            <v xml:space="preserve">During the past 7 days, how many days was there no food to eat of any kind in your household ?   </v>
          </cell>
          <cell r="K91" t="str">
            <v>Number of days:</v>
          </cell>
          <cell r="N91" t="str">
            <v>Range</v>
          </cell>
          <cell r="R91" t="str">
            <v xml:space="preserve">number..' should be &gt;0 &amp;=&lt; 7 </v>
          </cell>
          <cell r="S91" t="str">
            <v>NUMBER SEEMS TOO LOW/HIGH. PLEASE CHECK</v>
          </cell>
          <cell r="T91" t="str">
            <v>NEW</v>
          </cell>
          <cell r="V91" t="str">
            <v>NOT PENDANT ANYMORE</v>
          </cell>
          <cell r="W91" t="str">
            <v>Done</v>
          </cell>
        </row>
        <row r="92">
          <cell r="A92" t="str">
            <v>Food10c</v>
          </cell>
          <cell r="B92">
            <v>82</v>
          </cell>
          <cell r="C92" t="str">
            <v>Economic</v>
          </cell>
          <cell r="D92" t="str">
            <v>Food and Nutrition</v>
          </cell>
          <cell r="E92" t="str">
            <v>Food_sec10_freq7</v>
          </cell>
          <cell r="F92" t="str">
            <v>Food10c</v>
          </cell>
          <cell r="G92">
            <v>1</v>
          </cell>
          <cell r="H92" t="str">
            <v>OI</v>
          </cell>
          <cell r="I92" t="str">
            <v xml:space="preserve">During the past 7 days, how many days did you or any household member go to sleep at night hungry?   </v>
          </cell>
          <cell r="K92" t="str">
            <v>Number of days:</v>
          </cell>
          <cell r="N92" t="str">
            <v>Range</v>
          </cell>
          <cell r="R92" t="str">
            <v xml:space="preserve">number..' should be &gt;0 &amp;=&lt; 7 </v>
          </cell>
          <cell r="S92" t="str">
            <v>NUMBER SEEMS TOO LOW/HIGH. PLEASE CHECK</v>
          </cell>
          <cell r="T92" t="str">
            <v>NEW</v>
          </cell>
          <cell r="V92" t="str">
            <v>NOT PENDANT ANYMORE</v>
          </cell>
          <cell r="W92" t="str">
            <v>Done</v>
          </cell>
        </row>
        <row r="93">
          <cell r="A93" t="str">
            <v>Food11c</v>
          </cell>
          <cell r="B93">
            <v>83</v>
          </cell>
          <cell r="C93" t="str">
            <v>Economic</v>
          </cell>
          <cell r="D93" t="str">
            <v>Food and Nutrition</v>
          </cell>
          <cell r="E93" t="str">
            <v>Food_sec11_freq7</v>
          </cell>
          <cell r="F93" t="str">
            <v>Food11c</v>
          </cell>
          <cell r="G93">
            <v>1</v>
          </cell>
          <cell r="H93" t="str">
            <v>OI</v>
          </cell>
          <cell r="I93" t="str">
            <v xml:space="preserve">During the past 7 days, how many days did you or any household member go a whole day and night without eating anything?   </v>
          </cell>
          <cell r="K93" t="str">
            <v>Number of days:</v>
          </cell>
          <cell r="N93" t="str">
            <v>Range</v>
          </cell>
          <cell r="R93" t="str">
            <v xml:space="preserve">number..' should be &gt;0 &amp;=&lt; 7 </v>
          </cell>
          <cell r="S93" t="str">
            <v>NUMBER SEEMS TOO LOW/HIGH. PLEASE CHECK</v>
          </cell>
          <cell r="T93" t="str">
            <v>NEW</v>
          </cell>
          <cell r="V93" t="str">
            <v>NOT PENDANT ANYMORE</v>
          </cell>
          <cell r="W93" t="str">
            <v>Done</v>
          </cell>
        </row>
        <row r="94">
          <cell r="A94" t="str">
            <v>Food11a</v>
          </cell>
          <cell r="B94">
            <v>84</v>
          </cell>
          <cell r="C94" t="str">
            <v>Economic</v>
          </cell>
          <cell r="D94" t="str">
            <v>Food and Nutrition</v>
          </cell>
          <cell r="E94" t="str">
            <v>Food_div1</v>
          </cell>
          <cell r="F94" t="str">
            <v>Food11a</v>
          </cell>
          <cell r="G94">
            <v>1</v>
          </cell>
          <cell r="H94" t="str">
            <v>OI</v>
          </cell>
          <cell r="I94" t="str">
            <v>How many days over the past 7 days, did most members of your household, more than half of them, eat the following food items:    Cereals, grains, roots and tubers Rice, pasta, bread, sorghum, millet, maize, potato, yam, cassava, white sweet potato</v>
          </cell>
          <cell r="J94" t="str">
            <v>Write 0 if not consumed in past 7 days</v>
          </cell>
          <cell r="K94" t="str">
            <v>Nb of days:</v>
          </cell>
          <cell r="N94" t="str">
            <v>Range</v>
          </cell>
          <cell r="R94" t="str">
            <v>number..' should be &gt;=0 &amp;=&lt; 7</v>
          </cell>
          <cell r="S94" t="str">
            <v>NUMBER SEEMS TOO LOW/HIGH. PLEASE CHECK</v>
          </cell>
          <cell r="T94" t="str">
            <v>NEW</v>
          </cell>
          <cell r="V94" t="str">
            <v>NOT PENDANT ANYMORE</v>
          </cell>
          <cell r="W94" t="str">
            <v>Done</v>
          </cell>
        </row>
        <row r="95">
          <cell r="A95" t="str">
            <v>Food12a</v>
          </cell>
          <cell r="B95">
            <v>85</v>
          </cell>
          <cell r="C95" t="str">
            <v>Economic</v>
          </cell>
          <cell r="D95" t="str">
            <v>Food and Nutrition</v>
          </cell>
          <cell r="E95" t="str">
            <v>Food_div2</v>
          </cell>
          <cell r="F95" t="str">
            <v>Food12a</v>
          </cell>
          <cell r="G95">
            <v>1</v>
          </cell>
          <cell r="H95" t="str">
            <v>OI</v>
          </cell>
          <cell r="I95" t="str">
            <v>How many days over the past 7 days, did most members of your household, more than half of them, eat the following food items:    Pulses/ legumes / nuts: beans, cowpeas, peanuts, lentils, nut, soy, pigeon pea and / or other nuts</v>
          </cell>
          <cell r="J95" t="str">
            <v>Write 0 if not consumed in past 7 days</v>
          </cell>
          <cell r="K95" t="str">
            <v>Nb of days:</v>
          </cell>
          <cell r="N95" t="str">
            <v>Range</v>
          </cell>
          <cell r="R95" t="str">
            <v>number..' should be &gt;=0 &amp;=&lt; 7</v>
          </cell>
          <cell r="S95" t="str">
            <v>NUMBER SEEMS TOO LOW/HIGH. PLEASE CHECK</v>
          </cell>
          <cell r="T95" t="str">
            <v>NEW</v>
          </cell>
          <cell r="V95" t="str">
            <v>NOT PENDANT ANYMORE</v>
          </cell>
          <cell r="W95" t="str">
            <v>Done</v>
          </cell>
        </row>
        <row r="96">
          <cell r="A96" t="str">
            <v>Food13a</v>
          </cell>
          <cell r="B96">
            <v>86</v>
          </cell>
          <cell r="C96" t="str">
            <v>Economic</v>
          </cell>
          <cell r="D96" t="str">
            <v>Food and Nutrition</v>
          </cell>
          <cell r="E96" t="str">
            <v>Food_div3</v>
          </cell>
          <cell r="F96" t="str">
            <v>Food13a</v>
          </cell>
          <cell r="G96">
            <v>1</v>
          </cell>
          <cell r="H96" t="str">
            <v>OI</v>
          </cell>
          <cell r="I96" t="str">
            <v xml:space="preserve">And what about:    Milk and other dairy products: fresh milk / sour, yogurt, cheese, other dairy products. Exclude margarine / butter or small amounts of milk for tea / coffee.  </v>
          </cell>
          <cell r="J96" t="str">
            <v>Write 0 if not consumed in past 7 days</v>
          </cell>
          <cell r="K96" t="str">
            <v>Nb of days:</v>
          </cell>
          <cell r="N96" t="str">
            <v>Range</v>
          </cell>
          <cell r="R96" t="str">
            <v>number..' should be &gt;=0 &amp;=&lt; 7</v>
          </cell>
          <cell r="S96" t="str">
            <v>NUMBER SEEMS TOO LOW/HIGH. PLEASE CHECK</v>
          </cell>
          <cell r="T96" t="str">
            <v>NEW</v>
          </cell>
          <cell r="V96" t="str">
            <v>NOT PENDANT ANYMORE</v>
          </cell>
          <cell r="W96" t="str">
            <v>Done</v>
          </cell>
        </row>
        <row r="97">
          <cell r="A97" t="str">
            <v>Food14a</v>
          </cell>
          <cell r="B97">
            <v>87</v>
          </cell>
          <cell r="C97" t="str">
            <v>Economic</v>
          </cell>
          <cell r="D97" t="str">
            <v>Food and Nutrition</v>
          </cell>
          <cell r="E97" t="str">
            <v>Food_div4</v>
          </cell>
          <cell r="F97" t="str">
            <v>Food14a</v>
          </cell>
          <cell r="G97">
            <v>1</v>
          </cell>
          <cell r="H97" t="str">
            <v>OI</v>
          </cell>
          <cell r="I97" t="str">
            <v>And what about:    Meat, fish and eggs:  goat, beef, chicken, pork, blood, fish, including canned tuna, escargot, and / or other seafood, eggs. Report ony meat and fish consumed in large quantities and not as a condiment.</v>
          </cell>
          <cell r="J97" t="str">
            <v>Write 0 if not consumed in past 7 days</v>
          </cell>
          <cell r="K97" t="str">
            <v>Nb of days:</v>
          </cell>
          <cell r="N97" t="str">
            <v>Range</v>
          </cell>
          <cell r="R97" t="str">
            <v>number..' should be &gt;=0 &amp;=&lt; 7</v>
          </cell>
          <cell r="S97" t="str">
            <v>NUMBER SEEMS TOO LOW/HIGH. PLEASE CHECK</v>
          </cell>
          <cell r="T97" t="str">
            <v>NEW</v>
          </cell>
          <cell r="V97" t="str">
            <v>NOT PENDANT ANYMORE</v>
          </cell>
          <cell r="W97" t="str">
            <v>Done</v>
          </cell>
        </row>
        <row r="98">
          <cell r="A98" t="str">
            <v>Food14.1a</v>
          </cell>
          <cell r="B98">
            <v>88</v>
          </cell>
          <cell r="C98" t="str">
            <v>Economic</v>
          </cell>
          <cell r="D98" t="str">
            <v>Food and Nutrition</v>
          </cell>
          <cell r="E98" t="str">
            <v>Food_div4.1</v>
          </cell>
          <cell r="F98" t="str">
            <v>Food14.1a</v>
          </cell>
          <cell r="G98">
            <v>1</v>
          </cell>
          <cell r="H98" t="str">
            <v>OI</v>
          </cell>
          <cell r="I98" t="str">
            <v>And What about    Flesh meat:  beef, pork, lamb, goat, rabbit, chicken, duck, other birds, insects</v>
          </cell>
          <cell r="J98" t="str">
            <v>Write 0 if not consumed in past 7 days</v>
          </cell>
          <cell r="K98" t="str">
            <v>Nb of days:</v>
          </cell>
          <cell r="N98" t="str">
            <v>Range</v>
          </cell>
          <cell r="R98" t="str">
            <v>number..' should be &gt;=0 &amp;=&lt; 7</v>
          </cell>
          <cell r="S98" t="str">
            <v>NUMBER SEEMS TOO LOW/HIGH. PLEASE CHECK</v>
          </cell>
          <cell r="T98" t="str">
            <v>NEW</v>
          </cell>
          <cell r="V98" t="str">
            <v>NOT PENDANT ANYMORE</v>
          </cell>
          <cell r="W98" t="str">
            <v>Done</v>
          </cell>
        </row>
        <row r="99">
          <cell r="A99" t="str">
            <v>Food14.2a</v>
          </cell>
          <cell r="B99">
            <v>89</v>
          </cell>
          <cell r="C99" t="str">
            <v>Economic</v>
          </cell>
          <cell r="D99" t="str">
            <v>Food and Nutrition</v>
          </cell>
          <cell r="E99" t="str">
            <v>Food_div4.2</v>
          </cell>
          <cell r="F99" t="str">
            <v>Food14.2a</v>
          </cell>
          <cell r="G99">
            <v>1</v>
          </cell>
          <cell r="H99" t="str">
            <v>OI</v>
          </cell>
          <cell r="I99" t="str">
            <v>How many days over the past 7 days, did most members of your household,more than half of them, eat the following food items:    Organ meat:  liver, kidney, heart and / or other organ meats</v>
          </cell>
          <cell r="J99" t="str">
            <v>Write 0 if not consumed in past 7 days</v>
          </cell>
          <cell r="K99" t="str">
            <v>Nb of days:</v>
          </cell>
          <cell r="N99" t="str">
            <v>Range</v>
          </cell>
          <cell r="R99" t="str">
            <v>number..' should be &gt;=0 &amp;=&lt; 7</v>
          </cell>
          <cell r="S99" t="str">
            <v>NUMBER SEEMS TOO LOW/HIGH. PLEASE CHECK</v>
          </cell>
          <cell r="T99" t="str">
            <v>NEW</v>
          </cell>
          <cell r="V99" t="str">
            <v>NOT PENDANT ANYMORE</v>
          </cell>
          <cell r="W99" t="str">
            <v>Done</v>
          </cell>
        </row>
        <row r="100">
          <cell r="A100" t="str">
            <v>Food14.3a</v>
          </cell>
          <cell r="B100">
            <v>90</v>
          </cell>
          <cell r="C100" t="str">
            <v>Economic</v>
          </cell>
          <cell r="D100" t="str">
            <v>Food and Nutrition</v>
          </cell>
          <cell r="E100" t="str">
            <v>Food_div4.3</v>
          </cell>
          <cell r="F100" t="str">
            <v>Food14.3a</v>
          </cell>
          <cell r="G100">
            <v>1</v>
          </cell>
          <cell r="H100" t="str">
            <v>OI</v>
          </cell>
          <cell r="I100" t="str">
            <v>And what about: Fish/shellfish:  fish, including canned tuna, escargot, and / or other seafood. Report only fish consumed in large quantities and not as a condiment.</v>
          </cell>
          <cell r="J100" t="str">
            <v>Write 0 if not consumed in past 7 days</v>
          </cell>
          <cell r="K100" t="str">
            <v>Nb of days:</v>
          </cell>
          <cell r="N100" t="str">
            <v>Range</v>
          </cell>
          <cell r="R100" t="str">
            <v>number..' should be &gt;=0 &amp; =&lt; 7</v>
          </cell>
          <cell r="S100" t="str">
            <v>NUMBER SEEMS TOO LOW/HIGH. PLEASE CHECK</v>
          </cell>
          <cell r="T100" t="str">
            <v>NEW</v>
          </cell>
          <cell r="V100" t="str">
            <v>NOT PENDANT ANYMORE</v>
          </cell>
          <cell r="W100" t="str">
            <v>Done</v>
          </cell>
        </row>
        <row r="101">
          <cell r="A101" t="str">
            <v>Food14.4a</v>
          </cell>
          <cell r="B101">
            <v>91</v>
          </cell>
          <cell r="C101" t="str">
            <v>Economic</v>
          </cell>
          <cell r="D101" t="str">
            <v>Food and Nutrition</v>
          </cell>
          <cell r="E101" t="str">
            <v>Food_div4.4</v>
          </cell>
          <cell r="F101" t="str">
            <v>Food14.4a</v>
          </cell>
          <cell r="G101">
            <v>1</v>
          </cell>
          <cell r="H101" t="str">
            <v>OI</v>
          </cell>
          <cell r="I101" t="str">
            <v>And what about: Eggs</v>
          </cell>
          <cell r="J101" t="str">
            <v>Write 0 if not consumed in past 7 days</v>
          </cell>
          <cell r="K101" t="str">
            <v>Nb of days:</v>
          </cell>
          <cell r="N101" t="str">
            <v>Range</v>
          </cell>
          <cell r="R101" t="str">
            <v>number..' should be &gt;=0 &amp; =&lt; 7</v>
          </cell>
          <cell r="S101" t="str">
            <v>NUMBER SEEMS TOO LOW/HIGH. PLEASE CHECK</v>
          </cell>
          <cell r="T101" t="str">
            <v>NEW</v>
          </cell>
          <cell r="V101" t="str">
            <v>NOT PENDANT ANYMORE</v>
          </cell>
          <cell r="W101" t="str">
            <v>Done</v>
          </cell>
        </row>
        <row r="102">
          <cell r="A102" t="str">
            <v>Food15a</v>
          </cell>
          <cell r="B102">
            <v>92</v>
          </cell>
          <cell r="C102" t="str">
            <v>Economic</v>
          </cell>
          <cell r="D102" t="str">
            <v>Food and Nutrition</v>
          </cell>
          <cell r="E102" t="str">
            <v>Food_div5</v>
          </cell>
          <cell r="F102" t="str">
            <v>Food15a</v>
          </cell>
          <cell r="G102">
            <v>1</v>
          </cell>
          <cell r="H102" t="str">
            <v>OI</v>
          </cell>
          <cell r="I102" t="str">
            <v>And what about: Vegetables and leaves: spinach, onion, tomatoes, carrots, peppers, green beans, lettuce, etc</v>
          </cell>
          <cell r="J102" t="str">
            <v>Write 0 if not consumed in past 7 days</v>
          </cell>
          <cell r="K102" t="str">
            <v>Nb of days:</v>
          </cell>
          <cell r="N102" t="str">
            <v>Range</v>
          </cell>
          <cell r="R102" t="str">
            <v>number..' should be &gt;=0 &amp; =&lt; 7</v>
          </cell>
          <cell r="S102" t="str">
            <v>NUMBER SEEMS TOO LOW/HIGH. PLEASE CHECK</v>
          </cell>
          <cell r="T102" t="str">
            <v>NEW</v>
          </cell>
          <cell r="V102" t="str">
            <v>NOT PENDANT ANYMORE</v>
          </cell>
          <cell r="W102" t="str">
            <v>Done</v>
          </cell>
        </row>
        <row r="103">
          <cell r="A103" t="str">
            <v>Food15.1a</v>
          </cell>
          <cell r="B103">
            <v>93</v>
          </cell>
          <cell r="C103" t="str">
            <v>Economic</v>
          </cell>
          <cell r="D103" t="str">
            <v>Food and Nutrition</v>
          </cell>
          <cell r="E103" t="str">
            <v>Food_div5.1</v>
          </cell>
          <cell r="F103" t="str">
            <v>Food15.1a</v>
          </cell>
          <cell r="G103">
            <v>1</v>
          </cell>
          <cell r="H103" t="str">
            <v>OI</v>
          </cell>
          <cell r="I103" t="str">
            <v>How many days over the past 7 days, did most members of your household, more than half of them, eat the following food items:    Orange vegetables, i.e. vegetables rich in Vitamin A: carrot, red pepper, pumpkin, orange sweet potatoes,</v>
          </cell>
          <cell r="J103" t="str">
            <v>Write 0 if not consumed in past 7 days</v>
          </cell>
          <cell r="K103" t="str">
            <v>Nb of days:</v>
          </cell>
          <cell r="N103" t="str">
            <v>Range</v>
          </cell>
          <cell r="R103" t="str">
            <v>number..' should be &gt;=0 &amp; =&lt; 7</v>
          </cell>
          <cell r="S103" t="str">
            <v>NUMBER SEEMS TOO LOW/HIGH. PLEASE CHECK</v>
          </cell>
          <cell r="T103" t="str">
            <v>NEW</v>
          </cell>
          <cell r="V103" t="str">
            <v>NOT PENDANT ANYMORE</v>
          </cell>
          <cell r="W103" t="str">
            <v>Done</v>
          </cell>
        </row>
        <row r="104">
          <cell r="A104" t="str">
            <v>Food15.2a</v>
          </cell>
          <cell r="B104">
            <v>94</v>
          </cell>
          <cell r="C104" t="str">
            <v>Economic</v>
          </cell>
          <cell r="D104" t="str">
            <v>Food and Nutrition</v>
          </cell>
          <cell r="E104" t="str">
            <v>Food_div5.2</v>
          </cell>
          <cell r="F104" t="str">
            <v>Food15.2a</v>
          </cell>
          <cell r="G104">
            <v>1</v>
          </cell>
          <cell r="H104" t="str">
            <v>OI</v>
          </cell>
          <cell r="I104" t="str">
            <v>And what about: Green leafy vegetables: spinach, broccoli, amaranth and / or other dark green leaves, cassava leaves</v>
          </cell>
          <cell r="J104" t="str">
            <v>Write 0 if not consumed in past 7 days</v>
          </cell>
          <cell r="K104" t="str">
            <v>Nb of days:</v>
          </cell>
          <cell r="N104" t="str">
            <v>Range</v>
          </cell>
          <cell r="R104" t="str">
            <v>number..' should be &gt;=0 &amp; =&lt; 7</v>
          </cell>
          <cell r="S104" t="str">
            <v>NUMBER SEEMS TOO LOW/HIGH. PLEASE CHECK</v>
          </cell>
          <cell r="T104" t="str">
            <v>NEW</v>
          </cell>
          <cell r="V104" t="str">
            <v>NOT PENDANT ANYMORE</v>
          </cell>
          <cell r="W104" t="str">
            <v>Done</v>
          </cell>
        </row>
        <row r="105">
          <cell r="A105" t="str">
            <v>Food16a</v>
          </cell>
          <cell r="B105">
            <v>95</v>
          </cell>
          <cell r="C105" t="str">
            <v>Economic</v>
          </cell>
          <cell r="D105" t="str">
            <v>Food and Nutrition</v>
          </cell>
          <cell r="E105" t="str">
            <v>Food_div6</v>
          </cell>
          <cell r="F105" t="str">
            <v>Food16a</v>
          </cell>
          <cell r="G105">
            <v>1</v>
          </cell>
          <cell r="H105" t="str">
            <v>OI</v>
          </cell>
          <cell r="I105" t="str">
            <v>And what about:Fruits: banana, apple, lemon, mango, papaya, apricot, peach, etc</v>
          </cell>
          <cell r="J105" t="str">
            <v>Write 0 if not consumed in past 7 days</v>
          </cell>
          <cell r="K105" t="str">
            <v>Nb of days:</v>
          </cell>
          <cell r="N105" t="str">
            <v>Range</v>
          </cell>
          <cell r="R105" t="str">
            <v>number..' should be &gt;=0 &amp; =&lt; 7</v>
          </cell>
          <cell r="S105" t="str">
            <v>NUMBER SEEMS TOO LOW/HIGH. PLEASE CHECK</v>
          </cell>
          <cell r="T105" t="str">
            <v>NEW</v>
          </cell>
          <cell r="V105" t="str">
            <v>NOT PENDANT ANYMORE</v>
          </cell>
          <cell r="W105" t="str">
            <v>Done</v>
          </cell>
        </row>
        <row r="106">
          <cell r="A106" t="str">
            <v>Food16.1a</v>
          </cell>
          <cell r="B106">
            <v>96</v>
          </cell>
          <cell r="C106" t="str">
            <v>Economic</v>
          </cell>
          <cell r="D106" t="str">
            <v>Food and Nutrition</v>
          </cell>
          <cell r="E106" t="str">
            <v>Food_div6.1</v>
          </cell>
          <cell r="F106" t="str">
            <v>Food16.1a</v>
          </cell>
          <cell r="G106">
            <v>1</v>
          </cell>
          <cell r="H106" t="str">
            <v>OI</v>
          </cell>
          <cell r="I106" t="str">
            <v>And what about:Orange fruits, i.e. fruits rich in Vitamin A: mango, papaya, apricot, peach</v>
          </cell>
          <cell r="J106" t="str">
            <v>Write 0 if not consumed in past 7 days</v>
          </cell>
          <cell r="K106" t="str">
            <v>Nb of days:</v>
          </cell>
          <cell r="N106" t="str">
            <v>Range</v>
          </cell>
          <cell r="R106" t="str">
            <v>number..' should be &gt;=0 &amp; =&lt; 7</v>
          </cell>
          <cell r="S106" t="str">
            <v>NUMBER SEEMS TOO LOW/HIGH. PLEASE CHECK</v>
          </cell>
          <cell r="T106" t="str">
            <v>NEW</v>
          </cell>
          <cell r="V106" t="str">
            <v>NOT PENDANT ANYMORE</v>
          </cell>
          <cell r="W106" t="str">
            <v>Done</v>
          </cell>
        </row>
        <row r="107">
          <cell r="A107" t="str">
            <v>Food17a</v>
          </cell>
          <cell r="B107">
            <v>97</v>
          </cell>
          <cell r="C107" t="str">
            <v>Economic</v>
          </cell>
          <cell r="D107" t="str">
            <v>Food and Nutrition</v>
          </cell>
          <cell r="E107" t="str">
            <v>Food_div7</v>
          </cell>
          <cell r="F107" t="str">
            <v>Food17a</v>
          </cell>
          <cell r="G107">
            <v>1</v>
          </cell>
          <cell r="H107" t="str">
            <v>OI</v>
          </cell>
          <cell r="I107" t="str">
            <v>How many days over the past 7 days, did most members of your household, more than half of them, eat the following food items:    Oil / fat / butter: vegetable oil, palm oil, shea butter, margarine, other fats / oil</v>
          </cell>
          <cell r="J107" t="str">
            <v>Write 0 if not consumed in past 7 days</v>
          </cell>
          <cell r="K107" t="str">
            <v>Nb of days:</v>
          </cell>
          <cell r="N107" t="str">
            <v>Range</v>
          </cell>
          <cell r="R107" t="str">
            <v>number..' should be &gt;=0 &amp; =&lt; 7</v>
          </cell>
          <cell r="S107" t="str">
            <v>NUMBER SEEMS TOO LOW/HIGH. PLEASE CHECK</v>
          </cell>
          <cell r="T107" t="str">
            <v>NEW</v>
          </cell>
          <cell r="V107" t="str">
            <v>NOT PENDANT ANYMORE</v>
          </cell>
          <cell r="W107" t="str">
            <v>Done</v>
          </cell>
        </row>
        <row r="108">
          <cell r="A108" t="str">
            <v>Food18a</v>
          </cell>
          <cell r="B108">
            <v>98</v>
          </cell>
          <cell r="C108" t="str">
            <v>Economic</v>
          </cell>
          <cell r="D108" t="str">
            <v>Food and Nutrition</v>
          </cell>
          <cell r="E108" t="str">
            <v>Food_div8</v>
          </cell>
          <cell r="F108" t="str">
            <v>Food18a</v>
          </cell>
          <cell r="G108">
            <v>1</v>
          </cell>
          <cell r="H108" t="str">
            <v>OI</v>
          </cell>
          <cell r="I108" t="str">
            <v>And what about: Sugar, or sweet: sugar, honey, jam, cakes, candy, cookies, pastries, cakes and other sweet, for example sugary drinks.</v>
          </cell>
          <cell r="J108" t="str">
            <v>Write 0 if not consumed in past 7 days</v>
          </cell>
          <cell r="K108" t="str">
            <v>Nb of days:</v>
          </cell>
          <cell r="N108" t="str">
            <v>Range</v>
          </cell>
          <cell r="R108" t="str">
            <v>number..' should be &gt;=0 &amp; =&lt; 7</v>
          </cell>
          <cell r="S108" t="str">
            <v>NUMBER SEEMS TOO LOW/HIGH. PLEASE CHECK</v>
          </cell>
          <cell r="T108" t="str">
            <v>NEW</v>
          </cell>
          <cell r="V108" t="str">
            <v>NOT PENDANT ANYMORE</v>
          </cell>
          <cell r="W108" t="str">
            <v>Done</v>
          </cell>
        </row>
        <row r="109">
          <cell r="A109" t="str">
            <v>Food19a</v>
          </cell>
          <cell r="B109">
            <v>99</v>
          </cell>
          <cell r="C109" t="str">
            <v>Economic</v>
          </cell>
          <cell r="D109" t="str">
            <v>Food and Nutrition</v>
          </cell>
          <cell r="E109" t="str">
            <v>Food_div9</v>
          </cell>
          <cell r="F109" t="str">
            <v>Food19a</v>
          </cell>
          <cell r="G109">
            <v>1</v>
          </cell>
          <cell r="H109" t="str">
            <v>OI</v>
          </cell>
          <cell r="I109" t="str">
            <v>And what about:     Condiments / Spices: tea, coffee / cocoa, salt, garlic, spices, yeast / baking powder, lanwin, tomato / sauce, meat or fish as a condiment, condiments including small amount of milk / tea coffee.</v>
          </cell>
          <cell r="J109" t="str">
            <v>Write 0 if not consumed in past 7 days</v>
          </cell>
          <cell r="K109" t="str">
            <v>Nb of days:</v>
          </cell>
          <cell r="N109" t="str">
            <v>Range</v>
          </cell>
          <cell r="R109" t="str">
            <v>number..' should be &gt;=0 &amp; =&lt; 7</v>
          </cell>
          <cell r="S109" t="str">
            <v>NUMBER SEEMS TOO LOW/HIGH. PLEASE CHECK</v>
          </cell>
          <cell r="T109" t="str">
            <v>NEW</v>
          </cell>
          <cell r="V109" t="str">
            <v>NOT PENDANT ANYMORE</v>
          </cell>
          <cell r="W109" t="str">
            <v>Done</v>
          </cell>
        </row>
        <row r="110">
          <cell r="A110" t="str">
            <v>SubPov02</v>
          </cell>
          <cell r="B110">
            <v>100</v>
          </cell>
          <cell r="C110" t="str">
            <v>Economic</v>
          </cell>
          <cell r="D110" t="str">
            <v>Objective Wellbeing</v>
          </cell>
          <cell r="E110" t="str">
            <v>Inc_min</v>
          </cell>
          <cell r="F110" t="str">
            <v>SubPov02</v>
          </cell>
          <cell r="G110">
            <v>1</v>
          </cell>
          <cell r="H110" t="str">
            <v>OR</v>
          </cell>
          <cell r="I110" t="str">
            <v>Could you give us the amount per [week/month/year] that corresponds to this absolute minimum [net or locally used term meaning “net”] income?</v>
          </cell>
          <cell r="K110" t="str">
            <v>Minimum income in (local currency):   
98. Don’t know 
99. refuse to respond
Go back to oroginal missing values</v>
          </cell>
          <cell r="L110" t="str">
            <v xml:space="preserve">CHANGE THE HINT: 
If income is unknown enter 98
If refuse to respond enter 99
</v>
          </cell>
          <cell r="M110" t="str">
            <v>RECODE MISSING VALUES
'Don't know' should be 98
Refuse should be 99</v>
          </cell>
          <cell r="N110" t="str">
            <v>Range</v>
          </cell>
          <cell r="R110" t="str">
            <v>Condition 1.
Minimum income should (be &gt;0) OR (be=98)  OR (BE=99)</v>
          </cell>
          <cell r="S110" t="str">
            <v>Condition 1.
AMOUNT SHOULD BE MORE THAN ZERO. PLEASE CHECK.</v>
          </cell>
          <cell r="T110" t="str">
            <v>Condition 1. 
Inspired on LSMS 2015 (s5_rentalinc)
Conditoin 2. Inspired on lsms 2015</v>
          </cell>
          <cell r="V110" t="str">
            <v>missing codes were changed</v>
          </cell>
          <cell r="W110" t="str">
            <v>Done</v>
          </cell>
        </row>
        <row r="111">
          <cell r="A111" t="str">
            <v>IncSource1</v>
          </cell>
          <cell r="B111">
            <v>101</v>
          </cell>
          <cell r="C111" t="str">
            <v>Economic</v>
          </cell>
          <cell r="D111" t="str">
            <v>Objective Wellbeing</v>
          </cell>
          <cell r="E111" t="str">
            <v>Inc_main</v>
          </cell>
          <cell r="F111" t="str">
            <v>IncSource1</v>
          </cell>
          <cell r="G111">
            <v>2</v>
          </cell>
          <cell r="H111" t="str">
            <v>OT
seems this is MS</v>
          </cell>
          <cell r="I111" t="str">
            <v xml:space="preserve">In the past 12 months, what were the main sources of income or support of your household?  Give us up to 3 sources.  </v>
          </cell>
          <cell r="J111" t="str">
            <v xml:space="preserve">Mark up to 3 response options. </v>
          </cell>
          <cell r="K111" t="str">
            <v>1. Income or other pay from family farming of fishing 
2. Income or other pay from family business excluding farming or fishing 
3. Income or other pay from employment of household members including yourself 
4. Foodstuff produced from family farming or fishing 5. Remittances from abroad 
6. Support from other households in the country 
7. Income from properties, investment or saving 
8. Private or State pension or any other government support (national adaptation recommended) 
9. Assistance from NGO’s or other organizations 
96. Other: specify 
98. Don’t know 
99. Refuse to respond
Responses' codes should be letters</v>
          </cell>
          <cell r="N111" t="str">
            <v>MS 
(If DK or RF are selected)</v>
          </cell>
          <cell r="O111" t="str">
            <v>MS 
(up to 3 responses)</v>
          </cell>
          <cell r="R111" t="str">
            <v>Condition 1.
If 98 OR 99 are selected, then no other response should be selected at the same time
Condition 2.
If neither 98 NOR 99 are selected, number of selected responses should be &gt;=1 &amp; =&lt; 3</v>
          </cell>
          <cell r="S111" t="str">
            <v>Conditon 1.
THE COMBINATION OF ANSWERS YOU HAVE CHOSEN IS NOT POSSIBLE. PLEASE CHECK
Condition 2.
YOU CAN ONLY SELECT UP TO 3 RESPONSES. PLEASE CHECK</v>
          </cell>
          <cell r="T111" t="str">
            <v>Condition 1.
LSMS 2015 (Both for validation and message)
Condition 2.
New</v>
          </cell>
          <cell r="W111" t="str">
            <v>Done</v>
          </cell>
        </row>
        <row r="112">
          <cell r="A112" t="str">
            <v>IncSource2a</v>
          </cell>
          <cell r="B112">
            <v>102</v>
          </cell>
          <cell r="C112" t="str">
            <v>Economic</v>
          </cell>
          <cell r="D112" t="str">
            <v>Objective Wellbeing</v>
          </cell>
          <cell r="E112" t="str">
            <v>Inc_main_p1</v>
          </cell>
          <cell r="F112" t="str">
            <v>IncSource2a</v>
          </cell>
          <cell r="G112">
            <v>2</v>
          </cell>
          <cell r="H112" t="str">
            <v>OR</v>
          </cell>
          <cell r="I112" t="str">
            <v>What percentage of your household's total income and support does  [response 1 in Inc_main] represent?</v>
          </cell>
          <cell r="K112" t="str">
            <v xml:space="preserve">
Add a don’t know 998</v>
          </cell>
          <cell r="L112" t="str">
            <v>ADD HINT 
If don’t Know enter 998</v>
          </cell>
          <cell r="M112" t="str">
            <v>ADD MISSING CODES
Don’t know should be  998</v>
          </cell>
          <cell r="N112" t="str">
            <v>Range</v>
          </cell>
          <cell r="R112" t="str">
            <v>If only 1 response was selected in IncSource1, then this amount should be (&gt;0 and =&lt; 10) OR be 98</v>
          </cell>
          <cell r="S112" t="str">
            <v>THE NUMBER SHOULD BE BETWEEN 1 AND 10</v>
          </cell>
          <cell r="V112" t="str">
            <v>NOT PENDANT ANYMORE
Please check that missing code is correct in hint and condition</v>
          </cell>
          <cell r="W112" t="str">
            <v>Done</v>
          </cell>
        </row>
        <row r="113">
          <cell r="A113" t="str">
            <v xml:space="preserve">IncSource2b   </v>
          </cell>
          <cell r="B113">
            <v>103</v>
          </cell>
          <cell r="C113" t="str">
            <v>Economic</v>
          </cell>
          <cell r="D113" t="str">
            <v>Objective Wellbeing</v>
          </cell>
          <cell r="E113" t="str">
            <v>Inc_main_p2</v>
          </cell>
          <cell r="F113" t="str">
            <v xml:space="preserve">IncSource2b   </v>
          </cell>
          <cell r="G113">
            <v>2</v>
          </cell>
          <cell r="H113" t="str">
            <v>OR</v>
          </cell>
          <cell r="I113" t="str">
            <v>What percentage of your household's total income and support does [response 2 in Inc_main]  represent?</v>
          </cell>
          <cell r="K113" t="str">
            <v xml:space="preserve">
Add a don’t know 998</v>
          </cell>
          <cell r="L113" t="str">
            <v>ADD HINT 
If don’t Know enter 998</v>
          </cell>
          <cell r="M113" t="str">
            <v>ADD MISSING CODES
Don’t know should be  998</v>
          </cell>
          <cell r="N113" t="str">
            <v>Range</v>
          </cell>
          <cell r="R113" t="str">
            <v>Condition 1.
Values should be &gt;= 0 &amp; &lt;10 OR 98
Condition 2.
If 2 responses were selected in IncSource1, then (IncSource2a + IncSource2b=10)</v>
          </cell>
          <cell r="S113" t="str">
            <v>Condition 1.
THE NUMBER SHOULD BE BETWEEN 0 AND 10
Condition 2.
THE DIFFERENT MAIN SOURCES OF INCOME SHOULD SUM UP TO 10. PLEASE CHECK</v>
          </cell>
          <cell r="V113" t="str">
            <v>NOT PENDANT ANYMORE
Please check that missing code is correct in hint and condition</v>
          </cell>
          <cell r="W113" t="str">
            <v>Done</v>
          </cell>
        </row>
        <row r="114">
          <cell r="A114" t="str">
            <v>IncSource2c</v>
          </cell>
          <cell r="B114">
            <v>104</v>
          </cell>
          <cell r="C114" t="str">
            <v>Economic</v>
          </cell>
          <cell r="D114" t="str">
            <v>Objective Wellbeing</v>
          </cell>
          <cell r="E114" t="str">
            <v>Inc_main_p3</v>
          </cell>
          <cell r="F114" t="str">
            <v>IncSource2c</v>
          </cell>
          <cell r="G114">
            <v>2</v>
          </cell>
          <cell r="H114" t="str">
            <v>OR</v>
          </cell>
          <cell r="I114" t="str">
            <v>What percentage of your household's total income and support does [response 3 in Inc_main] represent?</v>
          </cell>
          <cell r="K114" t="str">
            <v xml:space="preserve">
Add a don’t know 998</v>
          </cell>
          <cell r="L114" t="str">
            <v>ADD HINT 
If don’t Know enter 998</v>
          </cell>
          <cell r="M114" t="str">
            <v>ADD MISSING CODES
Don’t know should be  998</v>
          </cell>
          <cell r="N114" t="str">
            <v>Range</v>
          </cell>
          <cell r="R114" t="str">
            <v>Condition 1.
Values should be &gt;= 0 &amp; &lt;10 OR 98
Condition 2.
If 3 responses were selected in IncSource1, then (IncSource2a + IncSource2b  + IncSource2c=10)</v>
          </cell>
          <cell r="S114" t="str">
            <v>Condition 1.
THE NUMBER SHOULD BE BETWEEN 0 AND 10
Condition 2.
THE DIFFERENT MAIN SOURCES OF INCOME SHOULD SUM UP TO 10. PLEASE CHECK</v>
          </cell>
          <cell r="V114" t="str">
            <v>NOT PENDANT ANYMORE
Please check that missing code is correct in hint and condition</v>
          </cell>
          <cell r="W114" t="str">
            <v>Done</v>
          </cell>
        </row>
        <row r="115">
          <cell r="A115" t="str">
            <v>ExpShock04</v>
          </cell>
          <cell r="B115">
            <v>105</v>
          </cell>
          <cell r="C115" t="str">
            <v>Economic</v>
          </cell>
          <cell r="D115" t="str">
            <v>Exp of Shocks</v>
          </cell>
          <cell r="E115" t="str">
            <v>Exp_S_time</v>
          </cell>
          <cell r="F115" t="str">
            <v>ExpShock04</v>
          </cell>
          <cell r="G115">
            <v>1</v>
          </cell>
          <cell r="H115" t="str">
            <v>SS</v>
          </cell>
          <cell r="I115" t="str">
            <v xml:space="preserve">How many [weeks/months] ago did this shock happen?  </v>
          </cell>
          <cell r="J115" t="str">
            <v xml:space="preserve">If less than a week, write 0 for the number of weeks. </v>
          </cell>
          <cell r="K115" t="str">
            <v xml:space="preserve">Nb of [weeks/months] : 
98. Don’t know   
99. Refuse to answer  </v>
          </cell>
          <cell r="N115" t="str">
            <v xml:space="preserve">Range - INTER-QUESTION 
within same Module
</v>
          </cell>
          <cell r="O115" t="str">
            <v xml:space="preserve">Range - INTER-QUESTION 
within same Module
</v>
          </cell>
          <cell r="R115" t="str">
            <v>Condition 1.
If '1. weeks' was selected in Exp_S_unit, then 'Nb of [weeks/monts]' (should be &gt;= 0 &amp; =&lt; 51) OR BE=98 OR BE=99
Condition 2.
And if If '2. months' was selected in Exp_S_unit, then 'Nb of [weeks/monts]' should (be &gt;=1 &amp;=&lt; 12) OR BE=98 OR BE=99</v>
          </cell>
          <cell r="S115" t="str">
            <v xml:space="preserve">Condition 1.
AMOUNT OF WEEKS SHOULD BE BETWEEN 0 AND 51. PLEASE CHECK
Condition 2.  
NUMBER OF MONTHS SHOULD BE BETWEEN 1 AND 12. PLEASE CHECK. </v>
          </cell>
          <cell r="T115" t="str">
            <v>NEW</v>
          </cell>
          <cell r="W115" t="str">
            <v>Done</v>
          </cell>
        </row>
        <row r="116">
          <cell r="A116" t="str">
            <v>ExpShock06</v>
          </cell>
          <cell r="B116">
            <v>106</v>
          </cell>
          <cell r="C116" t="str">
            <v>Economic</v>
          </cell>
          <cell r="D116" t="str">
            <v>Exp of Shocks</v>
          </cell>
          <cell r="E116" t="str">
            <v>Exp_S_cop</v>
          </cell>
          <cell r="F116" t="str">
            <v>ExpShock06</v>
          </cell>
          <cell r="G116">
            <v>1</v>
          </cell>
          <cell r="H116" t="str">
            <v>SS
Think this should be MS</v>
          </cell>
          <cell r="I116" t="str">
            <v xml:space="preserve">What was the main coping strategies your household used to overcome this shock?     Tell us about up to 3 strategies. </v>
          </cell>
          <cell r="J116" t="str">
            <v>Mark up to 3 strategies.</v>
          </cell>
          <cell r="K116" t="str">
            <v>Responses' codes should be letters
SALE/SPENDING
1. Sold goods (jewelry, tools, appliances etc)
2. Sold or rented out farm land
3. Sold or rented out other land
4. Sold the harvest in advance
5. Sold animals
6. Sold or rented out the house
7. Spent cash savings
WORK
8. Worked longer hours
9. Other household members who were not working, went to work
10. Household member migrated in search of work 
BORROW
11. Borrowed money from relatives
12. Borrowed money from money lenders
13. Borrowed money from institutions e.g. Banks etc 
SUPPORT
14. Received support from Government
15. Received support from NGOs/international organizations
16. Asked support from a solidarity/informal insurance group you belong to.
CHILDREN
17. Transferred children to cheaper public or private school
18. Removed children from school to work
19. Married off a child 
COMSUMPTION
20. Reduced food consumption
21. Consumed lower cost foods
22. Reduced non-food consumption
23. Spiritual effort (prayers, sought divine intervention)
24. Did not do anything
96. Other: specify
98. Don’t know 
99. Refuse to answer</v>
          </cell>
          <cell r="N116" t="str">
            <v>MS 
(If DK or RF are selected)</v>
          </cell>
          <cell r="O116" t="str">
            <v>MS 
(up to 3 responses)</v>
          </cell>
          <cell r="R116" t="str">
            <v>Condition 1.
If 98 OR 99 are selected, then no other response should be selected at the same time
Condition 2.
If neither 98 NOR 99 are selected, number of selected responses should be &gt;=1 &amp; =&lt; 3</v>
          </cell>
          <cell r="S116" t="str">
            <v>Conditon 1.
THE COMBINATION OF ANSWERS YOU HAVE CHOSEN IS NOT POSSIBLE. PLEASE CHECK
Condition 2.
YOU CAN ONLY SELECT UP TO 3 RESPONSES. PLEASE CHECK</v>
          </cell>
          <cell r="T116" t="str">
            <v>Condition 1.
LSMS 2015 (Both for validation and message)
Condition 2.
New</v>
          </cell>
          <cell r="W116" t="str">
            <v>Done</v>
          </cell>
        </row>
        <row r="117">
          <cell r="A117" t="str">
            <v>ScProtec07</v>
          </cell>
          <cell r="B117">
            <v>108</v>
          </cell>
          <cell r="C117" t="str">
            <v>Economic</v>
          </cell>
          <cell r="D117" t="str">
            <v>Social Protection</v>
          </cell>
          <cell r="E117" t="str">
            <v>SProtec_nb</v>
          </cell>
          <cell r="F117" t="str">
            <v>ScProtec07</v>
          </cell>
          <cell r="G117">
            <v>1</v>
          </cell>
          <cell r="H117" t="str">
            <v>OI</v>
          </cell>
          <cell r="I117" t="str">
            <v>In the past 12 months, how many times did you or anyone in your household receive assistance from [programme name]? </v>
          </cell>
          <cell r="K117" t="str">
            <v>Nb of times:
Add a 998 'Don’t know'
And 999 for Refuse
Go back to original, do not include missing codes</v>
          </cell>
          <cell r="N117" t="str">
            <v>Range</v>
          </cell>
          <cell r="R117" t="str">
            <v>Number should be (&gt; 0 &amp; =&lt; 365)</v>
          </cell>
          <cell r="S117" t="str">
            <v>THIS NUMBER SEEMS TOO LOW/HIGH. PLEASE CHECK</v>
          </cell>
          <cell r="T117" t="str">
            <v>NONE</v>
          </cell>
          <cell r="V117" t="str">
            <v>THIS VALIDATION CHENGED, MISSING CODES WERE ELIMINATED</v>
          </cell>
          <cell r="W117" t="str">
            <v>Done</v>
          </cell>
        </row>
        <row r="118">
          <cell r="A118" t="str">
            <v>ScProtec10</v>
          </cell>
          <cell r="B118">
            <v>109</v>
          </cell>
          <cell r="C118" t="str">
            <v>Economic</v>
          </cell>
          <cell r="D118" t="str">
            <v>Social Protection</v>
          </cell>
          <cell r="E118" t="str">
            <v>SProtec_freq</v>
          </cell>
          <cell r="F118" t="str">
            <v>ScProtec10</v>
          </cell>
          <cell r="G118">
            <v>2</v>
          </cell>
          <cell r="H118" t="str">
            <v>OI</v>
          </cell>
          <cell r="I118" t="str">
            <v>In the past 12 months, how often did you or anyone in your household receive assistance from [programme name]?</v>
          </cell>
          <cell r="K118" t="str">
            <v xml:space="preserve">Nb of [weeks/months]:
98. Don’t know 
99. refuse to answer
</v>
          </cell>
          <cell r="N118" t="str">
            <v xml:space="preserve">Range - INTER-QUESTION 
within same Module
</v>
          </cell>
          <cell r="O118" t="str">
            <v xml:space="preserve">Range - INTER-QUESTION 
within same Module
</v>
          </cell>
          <cell r="R118" t="str">
            <v>Condition 1.
If 'days" is selected in SProtec_unit, then 'Nb of [weeks/monts]' should (be &gt;= 1 &amp; =&lt; 30) OR be=98 OR be=99
Condition 2.
If '1. weeks' was selected in SProtec_unit, then 'Nb of [weeks/monts]' should (be &gt;= 1 &amp; =&lt; 51) OR be=98 OR be=99
Condition 3.
If If '2. months' was selected in SProtec_unit, then 'Nb of [weeks/monts]' (should be &gt;= 1 &amp; =&lt; 12) or be=98 or be=99</v>
          </cell>
          <cell r="S118" t="str">
            <v xml:space="preserve">Condition 1.
NUMBER OF DAYS SHOULD BE BETWEEN 1 AND 30. PLEASE CHECK
Condition 2.
AMOUNT OF WEEKS SHOULD BE BETWEEN 1 AND 51. PLEASE CHECK
Condition 3.  
NUMBER OF MONTHS SHOULD BE BETWEEN 1 AND 12. PLEASE CHECK. </v>
          </cell>
          <cell r="T118" t="str">
            <v>NEW</v>
          </cell>
          <cell r="W118" t="str">
            <v>NA</v>
          </cell>
        </row>
        <row r="119">
          <cell r="A119" t="str">
            <v>CL00_2</v>
          </cell>
          <cell r="B119">
            <v>110</v>
          </cell>
          <cell r="C119" t="str">
            <v>Economic</v>
          </cell>
          <cell r="D119" t="str">
            <v>Child Labor</v>
          </cell>
          <cell r="F119" t="str">
            <v>CL00_2</v>
          </cell>
          <cell r="G119">
            <v>1</v>
          </cell>
          <cell r="J119" t="str">
            <v>Record ID of “another adult”</v>
          </cell>
          <cell r="K119" t="str">
            <v>Drop down from the roster - ID</v>
          </cell>
          <cell r="N119" t="str">
            <v>Intermodule</v>
          </cell>
          <cell r="R119" t="str">
            <v>Respondent should be &gt;=15 years old AND =&lt; 110 years old</v>
          </cell>
          <cell r="S119" t="str">
            <v>RESPONDENT IS TOO YOUNG. PLEASE CHECK</v>
          </cell>
          <cell r="T119" t="str">
            <v>Based on Hhroster age of cargiver</v>
          </cell>
          <cell r="V119" t="str">
            <v>Do we need this validation?</v>
          </cell>
          <cell r="W119" t="str">
            <v xml:space="preserve">Not possible at the moment </v>
          </cell>
        </row>
        <row r="120">
          <cell r="A120" t="str">
            <v>CL02</v>
          </cell>
          <cell r="B120">
            <v>111</v>
          </cell>
          <cell r="C120" t="str">
            <v>Economic</v>
          </cell>
          <cell r="D120" t="str">
            <v>Child Labor</v>
          </cell>
          <cell r="F120" t="str">
            <v>CL02</v>
          </cell>
          <cell r="G120">
            <v>2</v>
          </cell>
          <cell r="H120" t="str">
            <v>OI</v>
          </cell>
          <cell r="I120" t="str">
            <v xml:space="preserve">During the past 7 days, about how many hours did [name] engage in [his/her] activity(ies), in total?
</v>
          </cell>
          <cell r="J120" t="str">
            <v>If the respondent has difficulty determining the number of hours, please probe. For example, you could ask him/her: “How many days did he/she work in the past 7 days” and “How many hours did he/she work each of these days?”  From this, you can help respondent to calculate the number of hours typically worked in a week.</v>
          </cell>
          <cell r="K120" t="str">
            <v>Number of hours 
_ _ _
Don't  know  98
Change to 998 instead of 98</v>
          </cell>
          <cell r="L120" t="str">
            <v xml:space="preserve">CHANGE THE HINT: 
If Number is unknown enter 998
</v>
          </cell>
          <cell r="M120" t="str">
            <v>RECODE MISSING VALUES
'Don't know' should be 998</v>
          </cell>
          <cell r="N120" t="str">
            <v>Range</v>
          </cell>
          <cell r="R120" t="str">
            <v>Number of hours' (should be (&gt;= 0 &amp;=&lt; 168) OR (be=998)</v>
          </cell>
          <cell r="S120" t="str">
            <v>NUMBER OF HOURS CAN NOT BE HIGHER THAN 168. PLEASE CHECK</v>
          </cell>
          <cell r="T120" t="str">
            <v>Bisp 2018 for limit of 168 hours and warning message (CQ02)</v>
          </cell>
          <cell r="W120" t="str">
            <v>Done</v>
          </cell>
        </row>
        <row r="121">
          <cell r="A121" t="str">
            <v>CL09</v>
          </cell>
          <cell r="B121">
            <v>112</v>
          </cell>
          <cell r="C121" t="str">
            <v>Economic</v>
          </cell>
          <cell r="D121" t="str">
            <v>Child Labor</v>
          </cell>
          <cell r="F121" t="str">
            <v>CL09</v>
          </cell>
          <cell r="G121">
            <v>3</v>
          </cell>
          <cell r="H121" t="str">
            <v>OI</v>
          </cell>
          <cell r="I121" t="str">
            <v>In the past 7 days, about how many hours did [name] engage in [his/her] activity(ies), in total?</v>
          </cell>
          <cell r="J121" t="str">
            <v>If the respondent has difficulty determining the number of hours, please probe. For example, you could ask him/her: “How many days did (name) did these activities in the past 7 days” and “on average, how many hours did he/she work each of these days?”  From this, you can help respondent to calculate the number of hours.</v>
          </cell>
          <cell r="K121" t="str">
            <v>Number of hours  _ _ _
Don't know  98
Change to 998 instead of 98</v>
          </cell>
          <cell r="L121" t="str">
            <v xml:space="preserve">CHANGE THE HINT: 
If Number is unknown enter 998
</v>
          </cell>
          <cell r="M121" t="str">
            <v>RECODE MISSING VALUES
'Don't know' should be 998</v>
          </cell>
          <cell r="N121" t="str">
            <v>Range</v>
          </cell>
          <cell r="R121" t="str">
            <v>Condition 1.
'Number of hours' (should be &gt;= 0 &amp;=&lt; 168) OR (be=998)</v>
          </cell>
          <cell r="S121" t="str">
            <v xml:space="preserve">Condition 1.
NUMBER OF HOURS CAN NOT BE HIGHER THAN 168. PLEASE CHECK
</v>
          </cell>
          <cell r="T121" t="str">
            <v>Bisp 2018 for limit of 168 hours and warning message (CQ02)</v>
          </cell>
          <cell r="W121" t="str">
            <v>Done</v>
          </cell>
        </row>
        <row r="122">
          <cell r="A122" t="str">
            <v>HH14</v>
          </cell>
          <cell r="B122">
            <v>185</v>
          </cell>
          <cell r="C122" t="str">
            <v>Social Cultural</v>
          </cell>
          <cell r="D122" t="str">
            <v>Shelter</v>
          </cell>
          <cell r="F122" t="str">
            <v>HH14</v>
          </cell>
          <cell r="G122">
            <v>2</v>
          </cell>
          <cell r="H122" t="str">
            <v>OI</v>
          </cell>
          <cell r="I122" t="str">
            <v>How many separate rooms do the members of your household  occupy? (DO NOT COUNT BATHROOMS, TOILETS, STORE-ROOMS, OR GARAGE)</v>
          </cell>
          <cell r="K122" t="str">
            <v>NUMBER OF rooms _ _</v>
          </cell>
          <cell r="L122" t="str">
            <v>no changes needed</v>
          </cell>
          <cell r="M122" t="str">
            <v>no changes needed</v>
          </cell>
          <cell r="N122" t="str">
            <v>Range</v>
          </cell>
          <cell r="R122" t="str">
            <v>Number of rooms' needs to be &gt;0</v>
          </cell>
          <cell r="S122" t="str">
            <v>NUMBER OF ROOMS SHOULD BE AT LEAST ONE. PLEASE CHECK</v>
          </cell>
          <cell r="T122" t="str">
            <v>LSMS 2015</v>
          </cell>
          <cell r="W122" t="str">
            <v>Done</v>
          </cell>
        </row>
        <row r="123">
          <cell r="A123" t="str">
            <v>HH14a</v>
          </cell>
          <cell r="C123" t="str">
            <v>Social Cultural</v>
          </cell>
          <cell r="D123" t="str">
            <v>Shelter</v>
          </cell>
          <cell r="F123" t="str">
            <v>HH14a</v>
          </cell>
          <cell r="R123" t="str">
            <v>Number of structures needs to be &gt;0</v>
          </cell>
          <cell r="S123" t="str">
            <v>NUMBER OF STRUCTURES SHOULD BE AT LEAST ONE. PLEASE CHECK</v>
          </cell>
        </row>
        <row r="124">
          <cell r="A124" t="str">
            <v>HH15</v>
          </cell>
          <cell r="B124">
            <v>186</v>
          </cell>
          <cell r="C124" t="str">
            <v>Social Cultural</v>
          </cell>
          <cell r="D124" t="str">
            <v>Shelter</v>
          </cell>
          <cell r="F124" t="str">
            <v>HH15</v>
          </cell>
          <cell r="G124">
            <v>2</v>
          </cell>
          <cell r="H124" t="str">
            <v>OI</v>
          </cell>
          <cell r="I124" t="str">
            <v>How many rooms in this household are used for sleeping?</v>
          </cell>
          <cell r="K124" t="str">
            <v>NUMBER OF rooms _ _</v>
          </cell>
          <cell r="L124" t="str">
            <v>no changes needed</v>
          </cell>
          <cell r="M124" t="str">
            <v>no changes needed</v>
          </cell>
          <cell r="N124" t="str">
            <v>Range</v>
          </cell>
          <cell r="R124" t="str">
            <v>Condition 1.
Number of rooms needs to be &gt;0
Condition 2.
answer in HH15 should be &lt;= answer in HH14</v>
          </cell>
          <cell r="S124" t="str">
            <v xml:space="preserve">Condition 1.
NUMER OF ROOMS SHOULD AT LEAST BE ONE. 
Condition 2.
NUMBER OF ROOMS IS HIGHER THAN THE SPECIFIED IN PREVIOUS QUESTION. PLEASE CHECK. </v>
          </cell>
          <cell r="T124" t="str">
            <v>LSMS 2015 (For condition 1)</v>
          </cell>
          <cell r="V124" t="str">
            <v>NOT PENDANT ANYMORE. CONDITION 2 WAS DROPED</v>
          </cell>
          <cell r="W124" t="str">
            <v>dONE</v>
          </cell>
        </row>
        <row r="125">
          <cell r="A125" t="str">
            <v>HH18</v>
          </cell>
          <cell r="B125">
            <v>187</v>
          </cell>
          <cell r="C125" t="str">
            <v>Social Cultural</v>
          </cell>
          <cell r="D125" t="str">
            <v>Shelter</v>
          </cell>
          <cell r="F125" t="str">
            <v>HH18</v>
          </cell>
          <cell r="G125">
            <v>2</v>
          </cell>
          <cell r="H125" t="str">
            <v>OI</v>
          </cell>
          <cell r="I125" t="str">
            <v xml:space="preserve">In addition to your household members, how many people are sharing this living space? </v>
          </cell>
          <cell r="K125" t="str">
            <v>NUMBER OF PEOPLE _ _</v>
          </cell>
          <cell r="L125" t="str">
            <v>no changes needed</v>
          </cell>
          <cell r="M125" t="str">
            <v>no changes needed</v>
          </cell>
          <cell r="N125" t="str">
            <v>Range</v>
          </cell>
          <cell r="R125" t="str">
            <v>Number of people' should be &gt;=0&lt;20</v>
          </cell>
          <cell r="S125" t="str">
            <v>THIS NUMBER SHOULD BE EQUAL TO ZERO OR HIGHER AND SHOULD NOT BE TOO HIGH. PLEASE CHECK</v>
          </cell>
          <cell r="T125" t="str">
            <v>Inspired in LSMS 2015 (s5_waterbillshare)</v>
          </cell>
          <cell r="W125" t="str">
            <v>Done</v>
          </cell>
        </row>
        <row r="126">
          <cell r="A126" t="str">
            <v>BD17</v>
          </cell>
          <cell r="B126">
            <v>188</v>
          </cell>
          <cell r="C126" t="str">
            <v>Social Cultural</v>
          </cell>
          <cell r="D126" t="str">
            <v>WASH</v>
          </cell>
          <cell r="F126" t="str">
            <v>BD17</v>
          </cell>
          <cell r="G126">
            <v>1</v>
          </cell>
          <cell r="H126" t="str">
            <v>MS</v>
          </cell>
          <cell r="I126" t="str">
            <v>What do you or someone else in the household usually do to make the water safer to drink?</v>
          </cell>
          <cell r="J126" t="str">
            <v>Do not read out the list of possible responses, allow respondent to list and mark all that apply</v>
          </cell>
          <cell r="K126" t="str">
            <v xml:space="preserve">Change format, so letter comes first and then description of answer
Change Z to DK, and X to OT
LET IT STAND AND SETTLE A
BOIL IT B
EXPOSE IT TO SUNLIGHT C
USE DISINFECTION PRODUCT:  D
    Aquatabs/water purification tablets DA
    Liquid chlorine DB
    Powder or granular chlorine DC
    PuR or Watermaker sachets DD
    Other (please specify) DX
FILTER IT: E
    Biosand Filter EA
    Ceramic Pot Filter EB
    Candle Filter/Bucket Filter EC
    Other (please specify): EX
ASH  F
Other (please specify) X
DON’T KNOW Z
</v>
          </cell>
          <cell r="N126" t="str">
            <v>MS 
(If DK or RF are selected)</v>
          </cell>
          <cell r="R126" t="str">
            <v xml:space="preserve">Condition 1.
If "DK" is selected, then no other response should be selected at the same time
</v>
          </cell>
          <cell r="S126" t="str">
            <v xml:space="preserve">Conditon 1.
THE COMBINATION OF ANSWERS YOU HAVE CHOSEN IS NOT POSSIBLE. PLEASE CHECK
</v>
          </cell>
          <cell r="T126" t="str">
            <v xml:space="preserve">Condition 1.
LSMS 2015 (Both for validation and message)
</v>
          </cell>
          <cell r="W126" t="str">
            <v>Done</v>
          </cell>
        </row>
        <row r="127">
          <cell r="A127" t="str">
            <v>BD20_2</v>
          </cell>
          <cell r="B127">
            <v>189</v>
          </cell>
          <cell r="C127" t="str">
            <v>Social Cultural</v>
          </cell>
          <cell r="D127" t="str">
            <v>WASH</v>
          </cell>
          <cell r="F127" t="str">
            <v>BD20_2</v>
          </cell>
          <cell r="G127">
            <v>1</v>
          </cell>
          <cell r="H127" t="str">
            <v>OI</v>
          </cell>
          <cell r="I127" t="str">
            <v xml:space="preserve">How long does it take for members of your household to go to the main source of drinking water, stay in a queue, get water, and come back? Please do not include time spent socialising. </v>
          </cell>
          <cell r="K127" t="str">
            <v xml:space="preserve">NUMBER OF HOURS_ _ _0
NUMBER OF MINUTES _ _ _ 1
DON’T KNOW  998
</v>
          </cell>
          <cell r="L127" t="str">
            <v>CHECK HINT
if Number of hours is unknown enter 998
If number of minutes is unknown enter 998
(Im keeping three digits for minutes here since this missing code is outside the range of values considered as "data")</v>
          </cell>
          <cell r="M127" t="str">
            <v>CHECK MISSING VALUES
don’t KNOW FOR HOURS should be 998
Don't know for minutes should be 998</v>
          </cell>
          <cell r="N127" t="str">
            <v>Range</v>
          </cell>
          <cell r="O127" t="str">
            <v>Range</v>
          </cell>
          <cell r="R127" t="str">
            <v>Condition 1. 
'hours' should be (&gt;=0  &amp; =&lt;15) OR (BE=998)
Condition 2.
'minutes' should be (&gt;=0  &amp; =&lt; 59) OR (BE=998)</v>
          </cell>
          <cell r="S127" t="str">
            <v>Condition 1.
THIS NUMBER SEEMS TOO LOW/TOO HIGH. PLEASE CHECK
Condition 2.
THIS NUMBER SHOULD BE BETWEEN 0 AND 59. PLEASE CHECK</v>
          </cell>
          <cell r="T127" t="str">
            <v>LSMS 2015 (s5_timeWater)</v>
          </cell>
          <cell r="W127" t="str">
            <v>Done</v>
          </cell>
        </row>
        <row r="128">
          <cell r="A128" t="str">
            <v>BD23</v>
          </cell>
          <cell r="B128">
            <v>190</v>
          </cell>
          <cell r="C128" t="str">
            <v>Social Cultural</v>
          </cell>
          <cell r="D128" t="str">
            <v>WASH</v>
          </cell>
          <cell r="F128" t="str">
            <v>BD23</v>
          </cell>
          <cell r="G128">
            <v>3</v>
          </cell>
          <cell r="H128" t="str">
            <v>OI</v>
          </cell>
          <cell r="I128" t="str">
            <v>Now please think about the main source of water that your household uses for other purposes such as cooking and handwashing. How long does it take for members of your household to go there, stay in a queue, get water, and come back? Please do not include time spent socialising.</v>
          </cell>
          <cell r="K128" t="str">
            <v>NUMBER OF MINUTES _ _ _ 1
HOUSEHOLD MEMBERS DO NOT COLLECT 97
DON’T KNOW 98
Recode 97 to 997
Recode 98 to 998</v>
          </cell>
          <cell r="L128" t="str">
            <v>CHECK HINT
If Household members do not collect water, enter 997
If Number unknown enter 998</v>
          </cell>
          <cell r="M128" t="str">
            <v>If Household members do not collect, code should be 997
If Don’t know code should be 998</v>
          </cell>
          <cell r="N128" t="str">
            <v>Range</v>
          </cell>
          <cell r="R128" t="str">
            <v xml:space="preserve">Condition 1.
'NUMBER OF MINUTES should (be &gt; 0 &amp; =&lt; 900) OR BE=997 OR BE=998
</v>
          </cell>
          <cell r="S128" t="str">
            <v>Condition 1.
MUST BE AT LEAST ONE MINUTE. PLEASE CHECK</v>
          </cell>
          <cell r="T128" t="str">
            <v>LSMS 2015 (s5_timeWater)</v>
          </cell>
          <cell r="W128" t="str">
            <v>Done</v>
          </cell>
        </row>
        <row r="129">
          <cell r="A129" t="str">
            <v>SAN11</v>
          </cell>
          <cell r="B129">
            <v>191</v>
          </cell>
          <cell r="C129" t="str">
            <v>Social Cultural</v>
          </cell>
          <cell r="D129" t="str">
            <v>WASH</v>
          </cell>
          <cell r="F129" t="str">
            <v>SAN11</v>
          </cell>
          <cell r="G129">
            <v>2</v>
          </cell>
          <cell r="H129" t="str">
            <v>MS</v>
          </cell>
          <cell r="I129" t="str">
            <v>At what time of the day are you personally unable to use the toilet facility?</v>
          </cell>
          <cell r="J129" t="str">
            <v>Do not read response options, check all that apply</v>
          </cell>
          <cell r="K129" t="str">
            <v xml:space="preserve">Change format, so letter comes first and then description of answer
At night A
During the day B
Other (specify)  OT
Don’t know  DK
</v>
          </cell>
          <cell r="N129" t="str">
            <v>MS 
(If DK or RF are selected)</v>
          </cell>
          <cell r="R129" t="str">
            <v xml:space="preserve">Condition 1.
If "DK" is selected, then no other response should be selected at the same time
</v>
          </cell>
          <cell r="S129" t="str">
            <v xml:space="preserve">Conditon 1.
THE COMBINATION OF ANSWERS YOU HAVE CHOSEN IS NOT POSSIBLE. PLEASE CHECK
</v>
          </cell>
          <cell r="T129" t="str">
            <v xml:space="preserve">Condition 1.
LSMS 2015 (Both for validation and message)
</v>
          </cell>
          <cell r="W129" t="str">
            <v>Removed from SSD</v>
          </cell>
        </row>
        <row r="130">
          <cell r="A130" t="str">
            <v>SAN12</v>
          </cell>
          <cell r="B130">
            <v>192</v>
          </cell>
          <cell r="C130" t="str">
            <v>Social Cultural</v>
          </cell>
          <cell r="D130" t="str">
            <v>WASH</v>
          </cell>
          <cell r="F130" t="str">
            <v>SAN12</v>
          </cell>
          <cell r="G130">
            <v>1</v>
          </cell>
          <cell r="H130" t="str">
            <v>MS</v>
          </cell>
          <cell r="I130" t="str">
            <v>Where do you personally go when you cannot use this toilet facility?</v>
          </cell>
          <cell r="J130" t="str">
            <v>Mark all that apply</v>
          </cell>
          <cell r="K130" t="str">
            <v xml:space="preserve">Change format, so letter comes first and then description of answer
Neighbours toilet A
Open defecation B
Hold onto it till an appropriate time C
Other (specify)  OT
Don’t know  DK
Refused   RF
</v>
          </cell>
          <cell r="N130" t="str">
            <v>MS 
(If DK or RF are selected)</v>
          </cell>
          <cell r="R130" t="str">
            <v xml:space="preserve">Condition 1.
If "DK" OR "RF" are selected, then no other response should be selected at the same time </v>
          </cell>
          <cell r="S130" t="str">
            <v>Condition 1.
THE COMBINATION OF ANSWERS YOU HAVE CHOSEN IS NOT POSSIBLE. PLEASE CHECK</v>
          </cell>
          <cell r="T130" t="str">
            <v>Condition 1.
LSMS 2015 (Both for validation and message)</v>
          </cell>
          <cell r="W130" t="str">
            <v>Done</v>
          </cell>
        </row>
        <row r="131">
          <cell r="A131" t="str">
            <v>SAN14</v>
          </cell>
          <cell r="B131">
            <v>193</v>
          </cell>
          <cell r="C131" t="str">
            <v>Social Cultural</v>
          </cell>
          <cell r="D131" t="str">
            <v>WASH</v>
          </cell>
          <cell r="F131" t="str">
            <v>SAN14</v>
          </cell>
          <cell r="G131">
            <v>2</v>
          </cell>
          <cell r="H131" t="str">
            <v>MS</v>
          </cell>
          <cell r="I131" t="str">
            <v>When is the whole household unable to use the toilet facility?</v>
          </cell>
          <cell r="J131" t="str">
            <v>Do not read response options, check all that apply</v>
          </cell>
          <cell r="K131" t="str">
            <v xml:space="preserve">Change format, so letter comes first and then description of answer
change code Z to DK
Rainy season A
Don’t know  Z
Other (specify)  OT
Refused  RF
</v>
          </cell>
          <cell r="N131" t="str">
            <v>MS 
(If DK or RF are selected)</v>
          </cell>
          <cell r="R131" t="str">
            <v xml:space="preserve">Condition 1.
If "DK" of "RF" is selected, then no other response should be selected at the same time </v>
          </cell>
          <cell r="S131" t="str">
            <v>Condition 1.
THE COMBINATION OF ANSWERS YOU HAVE CHOSEN IS NOT POSSIBLE. PLEASE CHECK</v>
          </cell>
          <cell r="T131" t="str">
            <v>Condition 1.
LSMS 2015 (Both for validation and message)</v>
          </cell>
          <cell r="W131" t="str">
            <v>removed from SSD</v>
          </cell>
        </row>
        <row r="132">
          <cell r="A132" t="str">
            <v>SAN15</v>
          </cell>
          <cell r="B132">
            <v>194</v>
          </cell>
          <cell r="C132" t="str">
            <v>Social Cultural</v>
          </cell>
          <cell r="D132" t="str">
            <v>WASH</v>
          </cell>
          <cell r="F132" t="str">
            <v>SAN15</v>
          </cell>
          <cell r="G132">
            <v>1</v>
          </cell>
          <cell r="H132" t="str">
            <v>MS</v>
          </cell>
          <cell r="I132" t="str">
            <v>Where do household members go when they cannot use the toilet facility?</v>
          </cell>
          <cell r="J132" t="str">
            <v>Do not read response options, check all that apply</v>
          </cell>
          <cell r="K132" t="str">
            <v xml:space="preserve">Change format, so letter comes first and then description of answer
Neighbours toilet A
Open defecation B
Hold onto it till an appropriate time C
Don’t know  DK
Other (specify)  OT
No information  RF
</v>
          </cell>
          <cell r="N132" t="str">
            <v>MS 
(If DK or RF are selected)</v>
          </cell>
          <cell r="R132" t="str">
            <v xml:space="preserve">Condition 1.
If "DK" of "RF" is selected, then no other response should be selected at the same time </v>
          </cell>
          <cell r="S132" t="str">
            <v>Condition 1.
THE COMBINATION OF ANSWERS YOU HAVE CHOSEN IS NOT POSSIBLE. PLEASE CHECK</v>
          </cell>
          <cell r="T132" t="str">
            <v>Condition 1.
LSMS 2015 (Both for validation and message)</v>
          </cell>
          <cell r="W132" t="str">
            <v>done</v>
          </cell>
        </row>
        <row r="133">
          <cell r="A133" t="str">
            <v>OB02_1</v>
          </cell>
          <cell r="B133">
            <v>195</v>
          </cell>
          <cell r="C133" t="str">
            <v>Social Cultural</v>
          </cell>
          <cell r="D133" t="str">
            <v>WASH</v>
          </cell>
          <cell r="F133" t="str">
            <v>OB02_1</v>
          </cell>
          <cell r="G133">
            <v>1</v>
          </cell>
          <cell r="H133" t="str">
            <v>OI</v>
          </cell>
          <cell r="I133" t="str">
            <v>How many containers for storing and collecting water are there?</v>
          </cell>
          <cell r="J133" t="str">
            <v>Observe</v>
          </cell>
          <cell r="K133" t="str">
            <v>Number of containers _ _ </v>
          </cell>
          <cell r="L133" t="str">
            <v>no changes needed</v>
          </cell>
          <cell r="M133" t="str">
            <v>no changes needed</v>
          </cell>
          <cell r="N133" t="str">
            <v>Range</v>
          </cell>
          <cell r="R133" t="str">
            <v>Number of containers' should be &gt;0</v>
          </cell>
          <cell r="S133" t="str">
            <v>THERE MUST BE AT LEAST ONE CONTAINER. PLEASE CHECK</v>
          </cell>
          <cell r="T133" t="str">
            <v>NEW</v>
          </cell>
          <cell r="W133" t="str">
            <v>Done</v>
          </cell>
        </row>
        <row r="134">
          <cell r="A134" t="str">
            <v>OB02_3</v>
          </cell>
          <cell r="B134">
            <v>196</v>
          </cell>
          <cell r="C134" t="str">
            <v>Social Cultural</v>
          </cell>
          <cell r="D134" t="str">
            <v>WASH</v>
          </cell>
          <cell r="F134" t="str">
            <v>OB02_3</v>
          </cell>
          <cell r="G134">
            <v>1</v>
          </cell>
          <cell r="H134" t="str">
            <v>OR</v>
          </cell>
          <cell r="I134" t="str">
            <v>What is the volume of [container number]?</v>
          </cell>
          <cell r="J134" t="str">
            <v>ENTER THE AMOUNT OF LITRES each CONTAINER CAN HOLD TO THE NEAREST 0.5</v>
          </cell>
          <cell r="L134" t="str">
            <v>no changes needed</v>
          </cell>
          <cell r="M134" t="str">
            <v>no changes needed</v>
          </cell>
          <cell r="N134" t="str">
            <v>Range</v>
          </cell>
          <cell r="R134" t="str">
            <v>Condition 1.
'AMOUNT OF LITRES' (should be &gt;=0.5)</v>
          </cell>
          <cell r="S134" t="str">
            <v>Condition 1.
NUMBER OF LITRES SHOULD BE AT LEAST 0.5. PLEASE CHECK</v>
          </cell>
          <cell r="T134" t="str">
            <v>NEW</v>
          </cell>
          <cell r="W134" t="str">
            <v>Done</v>
          </cell>
        </row>
        <row r="135">
          <cell r="A135" t="str">
            <v>OB02_5</v>
          </cell>
          <cell r="B135">
            <v>197</v>
          </cell>
          <cell r="C135" t="str">
            <v>Social Cultural</v>
          </cell>
          <cell r="D135" t="str">
            <v>WASH</v>
          </cell>
          <cell r="F135" t="str">
            <v>OB02_5</v>
          </cell>
          <cell r="G135">
            <v>1</v>
          </cell>
          <cell r="H135" t="str">
            <v>OI</v>
          </cell>
          <cell r="I135" t="str">
            <v>How many times did you go to collect water with this [container number] yesterday? This includes all water collected morning, afternoon, and evening.</v>
          </cell>
          <cell r="K135" t="str">
            <v>Number of times  _</v>
          </cell>
          <cell r="L135" t="str">
            <v>no changes needed</v>
          </cell>
          <cell r="M135" t="str">
            <v>no changes needed</v>
          </cell>
          <cell r="N135" t="str">
            <v>Range</v>
          </cell>
          <cell r="R135" t="str">
            <v>Number of times' should be &gt;=0</v>
          </cell>
          <cell r="S135" t="str">
            <v>THIS NUMBER SEEMS TOO LOW. PLEASE CHECK</v>
          </cell>
          <cell r="T135" t="str">
            <v>NEW</v>
          </cell>
          <cell r="W135" t="str">
            <v>Done</v>
          </cell>
        </row>
        <row r="136">
          <cell r="A136" t="str">
            <v>MN02</v>
          </cell>
          <cell r="B136">
            <v>218</v>
          </cell>
          <cell r="C136" t="str">
            <v>Social Cultural</v>
          </cell>
          <cell r="D136" t="str">
            <v>Moquito Nets</v>
          </cell>
          <cell r="F136" t="str">
            <v>MN02</v>
          </cell>
          <cell r="G136">
            <v>1</v>
          </cell>
          <cell r="H136" t="str">
            <v>OI</v>
          </cell>
          <cell r="I136" t="str">
            <v>How many of these [bednets/mosquito nets] that can be used while sleeping does your household have? Please include any [bednets/mosquito nets] that are currently  not used, and being stored or saved.</v>
          </cell>
          <cell r="K136" t="str">
            <v>Number_ _
Add a Don’t know 998</v>
          </cell>
          <cell r="L136" t="str">
            <v>ADD HINT
If Number unknown enter 998</v>
          </cell>
          <cell r="M136" t="str">
            <v>ADD CODES
Don’t know should be 998</v>
          </cell>
          <cell r="N136" t="str">
            <v>Range</v>
          </cell>
          <cell r="R136" t="str">
            <v>Number should be (&gt;0 &amp; &lt;90) OR (=98)</v>
          </cell>
          <cell r="S136" t="str">
            <v>NUMBER OF [BEDNETS/MOSQUITO NETS] SHOULD BE AT LEAST ONE AND SHOULD NOT BE TOO HIGH. PLEASE CHECK</v>
          </cell>
          <cell r="T136" t="str">
            <v>New</v>
          </cell>
          <cell r="V136" t="str">
            <v>NOT PENDANT ANYMORE</v>
          </cell>
          <cell r="W136" t="str">
            <v>Done</v>
          </cell>
        </row>
        <row r="137">
          <cell r="A137" t="str">
            <v>MN05_1</v>
          </cell>
          <cell r="B137">
            <v>219</v>
          </cell>
          <cell r="C137" t="str">
            <v>Social Cultural</v>
          </cell>
          <cell r="D137" t="str">
            <v>Moquito Nets</v>
          </cell>
          <cell r="F137" t="str">
            <v>MN05_1</v>
          </cell>
          <cell r="G137">
            <v>1</v>
          </cell>
          <cell r="H137" t="str">
            <v>OI</v>
          </cell>
          <cell r="I137" t="str">
            <v>How many people?</v>
          </cell>
          <cell r="K137" t="str">
            <v>Number_ _</v>
          </cell>
          <cell r="N137" t="str">
            <v xml:space="preserve">Range - INTER-QUESTION 
within same Module
</v>
          </cell>
          <cell r="R137" t="str">
            <v>Number should be &gt; 0 &amp; =&lt; [number of household member + 10]</v>
          </cell>
          <cell r="S137" t="str">
            <v>NUMBER OF PEOPLE IS MUCH HIGHER THAN NUMBER OF HOUSEHOLD MEMBERS. PLEASE CHECK</v>
          </cell>
          <cell r="T137" t="str">
            <v>New</v>
          </cell>
          <cell r="W137" t="str">
            <v>Done</v>
          </cell>
        </row>
        <row r="138">
          <cell r="A138" t="str">
            <v>MN06</v>
          </cell>
          <cell r="B138">
            <v>220</v>
          </cell>
          <cell r="C138" t="str">
            <v>Social Cultural</v>
          </cell>
          <cell r="D138" t="str">
            <v>Moquito Nets</v>
          </cell>
          <cell r="F138" t="str">
            <v>MN06</v>
          </cell>
          <cell r="G138">
            <v>1</v>
          </cell>
          <cell r="H138" t="str">
            <v>OI</v>
          </cell>
          <cell r="I138" t="str">
            <v xml:space="preserve">How many [bednets/mosquito nets] were used for sleeping last night? </v>
          </cell>
          <cell r="K138" t="str">
            <v>Number_ _</v>
          </cell>
          <cell r="N138" t="str">
            <v xml:space="preserve">Range - INTER-QUESTION 
within same Module
</v>
          </cell>
          <cell r="R138" t="str">
            <v>This number should be =&lt; number specified in MN02</v>
          </cell>
          <cell r="S138" t="str">
            <v>NUMBER OF [BEDNETS/MOSQUITO NETS] IS HIGHER THAN THE NUMBER OF [BEDNETS/MOSQUITONETS] REGISTERED BEFORE AS AVAILABLE AT THE HOUSEHOLD. PLEASE CHECK</v>
          </cell>
          <cell r="T138" t="str">
            <v>New</v>
          </cell>
          <cell r="W138" t="str">
            <v>Done</v>
          </cell>
        </row>
        <row r="139">
          <cell r="A139" t="str">
            <v>MN07</v>
          </cell>
          <cell r="B139">
            <v>221</v>
          </cell>
          <cell r="C139" t="str">
            <v>Social Cultural</v>
          </cell>
          <cell r="D139" t="str">
            <v>Moquito Nets</v>
          </cell>
          <cell r="F139" t="str">
            <v>MN07</v>
          </cell>
          <cell r="G139">
            <v>1</v>
          </cell>
          <cell r="H139" t="str">
            <v>OI</v>
          </cell>
          <cell r="I139" t="str">
            <v xml:space="preserve">To the best of your knowledge, how many of [bednets/mosquito nets] your household used last night for sleeping were treated within the past  6 months? </v>
          </cell>
          <cell r="K139" t="str">
            <v>Number_ _</v>
          </cell>
          <cell r="N139" t="str">
            <v xml:space="preserve">Range - INTER-QUESTION 
within same Module
</v>
          </cell>
          <cell r="R139" t="str">
            <v>This number should be =&lt; number specified in MN06</v>
          </cell>
          <cell r="S139" t="str">
            <v>NUMBER OF [BEDNETS/MOSQUITONETS] SEEMS TOO HIGH GIVEN  THE NUMBER OF . [BEDNETS/MOSQUITONETS] SPECIFIED ON LAST QUESTION. PLEASE CHECK</v>
          </cell>
          <cell r="T139" t="str">
            <v>New</v>
          </cell>
          <cell r="W139" t="str">
            <v>Done</v>
          </cell>
        </row>
        <row r="140">
          <cell r="A140" t="str">
            <v>Intro_10</v>
          </cell>
          <cell r="B140">
            <v>246</v>
          </cell>
          <cell r="C140" t="str">
            <v>Other Modules</v>
          </cell>
          <cell r="D140" t="str">
            <v>Intro Question</v>
          </cell>
          <cell r="E140" t="str">
            <v>att_date</v>
          </cell>
          <cell r="F140" t="str">
            <v>Intro_10</v>
          </cell>
          <cell r="G140">
            <v>1</v>
          </cell>
          <cell r="H140" t="str">
            <v>OI</v>
          </cell>
          <cell r="I140" t="str">
            <v>Date of the contact attempt:</v>
          </cell>
          <cell r="K140" t="str">
            <v>Date:</v>
          </cell>
          <cell r="L140" t="str">
            <v>no changes needed</v>
          </cell>
          <cell r="M140" t="str">
            <v>no changes needed</v>
          </cell>
          <cell r="N140" t="str">
            <v>Range</v>
          </cell>
          <cell r="O140" t="str">
            <v>Range</v>
          </cell>
          <cell r="P140" t="str">
            <v>Range</v>
          </cell>
          <cell r="R140" t="str">
            <v>Condition 1.
Days should be &gt;= 1 &amp; =&lt; 31
Condition 2.
Months should be &gt;= 1 &amp; =&lt; 12
Condition 3.
Year should be == 2023</v>
          </cell>
          <cell r="S140" t="str">
            <v>Condition 1.
INVALID VALUE FOR DAYS. PLEASE CHECK
Condition 2.
INVALID VALUE FOR MONTHS. PLEASE CHECK
Condition 3.
INVALID YEAR. PLEASE CHECK</v>
          </cell>
          <cell r="T140" t="str">
            <v>nONE</v>
          </cell>
          <cell r="U140" t="str">
            <v>Chage 2023 to current year of survey</v>
          </cell>
          <cell r="W140" t="str">
            <v>Done</v>
          </cell>
        </row>
        <row r="141">
          <cell r="A141" t="str">
            <v>MN03</v>
          </cell>
          <cell r="D141" t="str">
            <v>Moquito Nets</v>
          </cell>
          <cell r="F141" t="str">
            <v>MN03</v>
          </cell>
          <cell r="G141">
            <v>1</v>
          </cell>
          <cell r="H141" t="str">
            <v>MS</v>
          </cell>
          <cell r="I141" t="str">
            <v>Where did you get these [bednets/mosquito nets]?</v>
          </cell>
          <cell r="J141" t="str">
            <v>Check all that apply</v>
          </cell>
          <cell r="K141" t="str">
            <v xml:space="preserve">GOVERNMENT
 HEALTH FACILITY A
PRIVATE
 HEALTH FACILITY B
PHARMACY C
SHOP / MARKET/
STREET D
COMMUNITY HEALTH
 WORKER E
RELIGIOUS
 INSTITUTION F
SCHOOL G
UNHCR/UN/NGO  H
OTHER OT
DK DK
</v>
          </cell>
          <cell r="R141" t="str">
            <v>Condition 1.
If "DK" is selected, then no other response should be selected at the same time</v>
          </cell>
          <cell r="S141" t="str">
            <v>Conditon 1.
THE COMBINATION OF ANSWERS YOU HAVE CHOSEN IS NOT POSSIBLE. PLEASE CHECK</v>
          </cell>
        </row>
        <row r="142">
          <cell r="A142" t="str">
            <v>MN05_2</v>
          </cell>
          <cell r="F142" t="str">
            <v>MN05_2</v>
          </cell>
          <cell r="H142" t="str">
            <v>OI</v>
          </cell>
          <cell r="I142" t="str">
            <v xml:space="preserve">You told me that [response to MN05_1 if MN05_1&gt;1] people slept under [bednets/mosquito nets] last night, how many of them slept under treated [bednets/mosquito nets] ? 
OR
You told me that [response to MN05_1 if MN05_1=1] person slept under [bednets/mosquito nets] last night, did this person sleep under treated [bednets/mosquito nets] ? </v>
          </cell>
          <cell r="K142" t="str">
            <v>Number_ _</v>
          </cell>
          <cell r="R142" t="str">
            <v>Condition 1
Number should be &gt;= 0 &amp; =&lt;MN05_1</v>
          </cell>
          <cell r="S142" t="str">
            <v>Condition 1
THIS NUMBER IS HIGHER THAN THE NUMBER OF PEOPLE WHO SLEPT UNDER [bednets/mosquito nets] LAST NIGHT. PLEASE CHECK.</v>
          </cell>
        </row>
        <row r="143">
          <cell r="A143" t="str">
            <v>MN09</v>
          </cell>
          <cell r="F143" t="str">
            <v>MN09</v>
          </cell>
          <cell r="H143" t="str">
            <v>OI</v>
          </cell>
          <cell r="I143" t="str">
            <v>How many guests slept in your home last night?</v>
          </cell>
          <cell r="K143" t="str">
            <v>Number_ _</v>
          </cell>
          <cell r="R143" t="str">
            <v>Condition 1
Number should be  (&gt;= 0 &amp; =&lt;90) OR be =98</v>
          </cell>
          <cell r="S143" t="str">
            <v>THE NUMBER IS TOO LOW/HIGH. PLEASE CHECK</v>
          </cell>
        </row>
        <row r="144">
          <cell r="A144" t="str">
            <v>HC10</v>
          </cell>
          <cell r="D144" t="str">
            <v>Clean Energy</v>
          </cell>
          <cell r="F144" t="str">
            <v>HC10</v>
          </cell>
          <cell r="I144" t="str">
            <v xml:space="preserve">In the past 30 days, who usually goes to collect the main fuel for the cookstove your household uses most of the time? </v>
          </cell>
          <cell r="J144" t="str">
            <v>Collect up to 2 names</v>
          </cell>
          <cell r="K144" t="str">
            <v>Not applicable, Members do not collect 97
Name 1
HH ID 1
Name 2 
HH ID 2</v>
          </cell>
          <cell r="R144" t="str">
            <v>Condition 1.
Number of names introduced should be max 2</v>
          </cell>
          <cell r="S144" t="str">
            <v>YOU CAN SELECT UP TO TWO NAMES. PLEASE CHECK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Lorenza Rossi" id="{7F364A71-94CA-40EE-BACA-221B687801D3}" userId="S::rossil@unhcr.org::65fc5e3c-abcf-404d-9afd-df88f2b1e58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6" dT="2024-10-28T13:27:19.74" personId="{7F364A71-94CA-40EE-BACA-221B687801D3}" id="{F33FD9E6-BFEA-421F-85F7-88D705AB4A5C}">
    <text>I just noticed that this was added here from the INTRO. We ask three times 1) origin (which could mean both birth or nationality or even just descent) 2) birth 3) nationality. While I agree with birth and nationality, origin seems it can lead to different interpretations. Why do we need it?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49DA2-47C9-4A2F-AB16-18B936475155}">
  <sheetPr>
    <tabColor rgb="FFFF3399"/>
  </sheetPr>
  <dimension ref="A1:CT100"/>
  <sheetViews>
    <sheetView tabSelected="1" zoomScale="90" zoomScaleNormal="120" workbookViewId="0">
      <pane xSplit="2" ySplit="3" topLeftCell="N4" activePane="bottomRight" state="frozen"/>
      <selection pane="topRight" activeCell="C1" sqref="C1"/>
      <selection pane="bottomLeft" activeCell="A4" sqref="A4"/>
      <selection pane="bottomRight" activeCell="T8" sqref="T8"/>
    </sheetView>
  </sheetViews>
  <sheetFormatPr defaultColWidth="8.5" defaultRowHeight="15.75" customHeight="1" x14ac:dyDescent="0.25"/>
  <cols>
    <col min="1" max="2" width="16" style="1" customWidth="1"/>
    <col min="3" max="3" width="18" style="1" customWidth="1"/>
    <col min="4" max="4" width="13.5" style="1" customWidth="1"/>
    <col min="5" max="6" width="8.5" style="2" hidden="1" customWidth="1"/>
    <col min="7" max="7" width="9.875" style="2" hidden="1" customWidth="1"/>
    <col min="8" max="8" width="7" style="2" hidden="1" customWidth="1"/>
    <col min="9" max="9" width="15.5" style="1" customWidth="1"/>
    <col min="10" max="10" width="34" style="1" customWidth="1"/>
    <col min="11" max="11" width="24.875" style="1" bestFit="1" customWidth="1"/>
    <col min="12" max="12" width="25" style="1" customWidth="1"/>
    <col min="13" max="17" width="27" style="1" customWidth="1"/>
    <col min="18" max="19" width="27" style="1" hidden="1" customWidth="1"/>
    <col min="20" max="21" width="27" style="1" customWidth="1"/>
    <col min="22" max="22" width="15" style="1" customWidth="1"/>
    <col min="23" max="24" width="16" style="1" customWidth="1"/>
    <col min="25" max="25" width="20" style="1" customWidth="1"/>
    <col min="26" max="27" width="21.5" style="1" customWidth="1"/>
    <col min="28" max="16384" width="8.5" style="1"/>
  </cols>
  <sheetData>
    <row r="1" spans="1:98" ht="16.5" thickBot="1" x14ac:dyDescent="0.3"/>
    <row r="2" spans="1:98" ht="78.75" customHeight="1" thickBot="1" x14ac:dyDescent="0.3">
      <c r="B2" s="3" t="s">
        <v>0</v>
      </c>
      <c r="C2" s="3" t="s">
        <v>1</v>
      </c>
      <c r="D2" s="4" t="s">
        <v>2</v>
      </c>
      <c r="E2" s="5" t="s">
        <v>3</v>
      </c>
      <c r="F2" s="5" t="s">
        <v>4</v>
      </c>
      <c r="G2" s="5" t="s">
        <v>5</v>
      </c>
      <c r="H2" s="5" t="s">
        <v>6</v>
      </c>
      <c r="I2" s="4" t="s">
        <v>7</v>
      </c>
      <c r="J2" s="4" t="s">
        <v>8</v>
      </c>
      <c r="K2" s="4" t="s">
        <v>9</v>
      </c>
      <c r="L2" s="4" t="s">
        <v>10</v>
      </c>
      <c r="M2" s="4" t="s">
        <v>11</v>
      </c>
      <c r="N2" s="4" t="s">
        <v>12</v>
      </c>
      <c r="O2" s="4" t="s">
        <v>13</v>
      </c>
      <c r="P2" s="4" t="s">
        <v>14</v>
      </c>
      <c r="Q2" s="3" t="s">
        <v>15</v>
      </c>
      <c r="R2" s="3" t="s">
        <v>16</v>
      </c>
      <c r="S2" s="3" t="s">
        <v>17</v>
      </c>
      <c r="T2" s="3" t="s">
        <v>18</v>
      </c>
      <c r="U2" s="4" t="s">
        <v>19</v>
      </c>
      <c r="V2" s="4" t="s">
        <v>20</v>
      </c>
      <c r="W2" s="4" t="s">
        <v>21</v>
      </c>
      <c r="X2" s="4" t="s">
        <v>22</v>
      </c>
      <c r="Y2" s="3" t="s">
        <v>23</v>
      </c>
      <c r="Z2" s="3" t="s">
        <v>24</v>
      </c>
      <c r="AA2" s="6" t="s">
        <v>25</v>
      </c>
    </row>
    <row r="3" spans="1:98" ht="16.5" thickBot="1" x14ac:dyDescent="0.3">
      <c r="B3" s="7" t="s">
        <v>26</v>
      </c>
      <c r="C3" s="8"/>
      <c r="D3" s="8"/>
      <c r="E3" s="8"/>
      <c r="F3" s="8"/>
      <c r="G3" s="8"/>
      <c r="H3" s="8"/>
      <c r="I3" s="8"/>
      <c r="J3" s="8"/>
      <c r="K3" s="8"/>
      <c r="L3" s="8"/>
      <c r="M3" s="8"/>
      <c r="N3" s="8"/>
      <c r="O3" s="8"/>
      <c r="P3" s="8"/>
      <c r="Q3" s="8"/>
      <c r="R3" s="9"/>
      <c r="S3" s="9"/>
      <c r="T3" s="9"/>
      <c r="U3" s="9"/>
      <c r="V3" s="8"/>
      <c r="W3" s="8"/>
      <c r="X3" s="8"/>
    </row>
    <row r="4" spans="1:98" ht="104.25" customHeight="1" thickBot="1" x14ac:dyDescent="0.3">
      <c r="B4" s="10"/>
      <c r="C4" s="11"/>
      <c r="D4" s="12"/>
      <c r="E4" s="12">
        <v>1</v>
      </c>
      <c r="F4" s="12">
        <v>1</v>
      </c>
      <c r="G4" s="12">
        <v>1</v>
      </c>
      <c r="H4" s="12">
        <v>1</v>
      </c>
      <c r="I4" s="12" t="s">
        <v>27</v>
      </c>
      <c r="J4" s="13" t="s">
        <v>28</v>
      </c>
      <c r="K4" s="12"/>
      <c r="L4" s="12"/>
      <c r="M4" s="12"/>
      <c r="N4" s="12"/>
      <c r="O4" s="12"/>
      <c r="P4" s="12"/>
      <c r="Q4" s="12"/>
      <c r="R4" s="12" t="s">
        <v>29</v>
      </c>
      <c r="S4" s="12" t="s">
        <v>30</v>
      </c>
      <c r="T4" s="12"/>
      <c r="U4" s="12"/>
      <c r="V4" s="12"/>
      <c r="W4" s="14"/>
      <c r="X4" s="12"/>
    </row>
    <row r="5" spans="1:98" s="18" customFormat="1" ht="104.25" customHeight="1" thickBot="1" x14ac:dyDescent="0.3">
      <c r="A5" s="1"/>
      <c r="B5" s="10"/>
      <c r="C5" s="11" t="s">
        <v>31</v>
      </c>
      <c r="D5" s="15" t="s">
        <v>32</v>
      </c>
      <c r="E5" s="12">
        <v>1</v>
      </c>
      <c r="F5" s="12">
        <v>1</v>
      </c>
      <c r="G5" s="12">
        <v>1</v>
      </c>
      <c r="H5" s="12">
        <v>1</v>
      </c>
      <c r="I5" s="12" t="s">
        <v>33</v>
      </c>
      <c r="J5" s="12" t="s">
        <v>34</v>
      </c>
      <c r="K5" s="12"/>
      <c r="L5" s="12" t="s">
        <v>35</v>
      </c>
      <c r="M5" s="12"/>
      <c r="N5" s="12"/>
      <c r="O5" s="12"/>
      <c r="P5" s="16" t="e">
        <f>VLOOKUP(D5,[1]Validation!A:V,18,FALSE)</f>
        <v>#N/A</v>
      </c>
      <c r="Q5" s="12" t="e">
        <f>VLOOKUP(D5,[1]Validation!A:W,19,FALSE)</f>
        <v>#N/A</v>
      </c>
      <c r="R5" s="12" t="s">
        <v>29</v>
      </c>
      <c r="S5" s="12" t="s">
        <v>30</v>
      </c>
      <c r="T5" s="12" t="s">
        <v>36</v>
      </c>
      <c r="U5" s="12"/>
      <c r="V5" s="12" t="s">
        <v>37</v>
      </c>
      <c r="W5" s="17"/>
      <c r="X5" s="12"/>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s="23" customFormat="1" ht="26.25" thickBot="1" x14ac:dyDescent="0.3">
      <c r="A6" s="19"/>
      <c r="B6" s="16"/>
      <c r="C6" s="16" t="s">
        <v>38</v>
      </c>
      <c r="D6" s="20" t="s">
        <v>39</v>
      </c>
      <c r="E6" s="21"/>
      <c r="F6" s="22"/>
      <c r="G6" s="21"/>
      <c r="H6" s="16">
        <v>1</v>
      </c>
      <c r="I6" s="16"/>
      <c r="J6" s="16" t="s">
        <v>40</v>
      </c>
      <c r="K6" s="16"/>
      <c r="L6" s="12"/>
      <c r="M6" s="10"/>
      <c r="N6" s="10"/>
      <c r="O6" s="10"/>
      <c r="P6" s="16" t="e">
        <f>VLOOKUP(D6,[1]Validation!A:V,18,FALSE)</f>
        <v>#N/A</v>
      </c>
      <c r="Q6" s="16" t="e">
        <f>VLOOKUP(D6,[1]Validation!A:W,19,FALSE)</f>
        <v>#N/A</v>
      </c>
      <c r="R6" s="16" t="s">
        <v>41</v>
      </c>
      <c r="S6" s="16" t="s">
        <v>30</v>
      </c>
      <c r="T6" s="12" t="s">
        <v>42</v>
      </c>
      <c r="U6" s="16"/>
      <c r="V6" s="10"/>
      <c r="W6" s="10"/>
      <c r="X6" s="10"/>
      <c r="Y6" s="1"/>
      <c r="Z6" s="1"/>
      <c r="AA6" s="1"/>
      <c r="AB6" s="1"/>
      <c r="AC6" s="1"/>
      <c r="AD6" s="1"/>
      <c r="AE6" s="1"/>
      <c r="AF6" s="1"/>
      <c r="AG6" s="1"/>
      <c r="AH6" s="1"/>
      <c r="AI6" s="1"/>
      <c r="AJ6" s="1"/>
      <c r="AK6" s="1"/>
      <c r="AL6" s="1"/>
      <c r="AM6" s="1"/>
      <c r="AN6" s="1"/>
      <c r="AO6" s="1"/>
      <c r="AP6" s="1"/>
      <c r="AQ6" s="1"/>
    </row>
    <row r="7" spans="1:98" ht="111.75" customHeight="1" thickBot="1" x14ac:dyDescent="0.3">
      <c r="B7" s="24"/>
      <c r="C7" s="11" t="s">
        <v>43</v>
      </c>
      <c r="D7" s="15" t="s">
        <v>44</v>
      </c>
      <c r="E7" s="12">
        <v>1</v>
      </c>
      <c r="F7" s="12">
        <v>1</v>
      </c>
      <c r="G7" s="12">
        <v>1</v>
      </c>
      <c r="H7" s="12">
        <v>1</v>
      </c>
      <c r="I7" s="12" t="s">
        <v>45</v>
      </c>
      <c r="J7" s="12" t="s">
        <v>46</v>
      </c>
      <c r="K7" s="12" t="s">
        <v>47</v>
      </c>
      <c r="L7" s="12"/>
      <c r="M7" s="12"/>
      <c r="N7" s="12"/>
      <c r="O7" s="16"/>
      <c r="P7" s="16" t="e">
        <f>VLOOKUP(D7,[1]Validation!A:V,18,FALSE)</f>
        <v>#N/A</v>
      </c>
      <c r="Q7" s="16" t="e">
        <f>VLOOKUP(D7,[1]Validation!A:W,19,FALSE)</f>
        <v>#N/A</v>
      </c>
      <c r="R7" s="16" t="s">
        <v>29</v>
      </c>
      <c r="S7" s="16" t="s">
        <v>30</v>
      </c>
      <c r="T7" s="16"/>
      <c r="U7" s="16"/>
      <c r="V7" s="16" t="s">
        <v>37</v>
      </c>
      <c r="W7" s="16" t="s">
        <v>48</v>
      </c>
      <c r="X7" s="16"/>
      <c r="Y7" s="19"/>
    </row>
    <row r="8" spans="1:98" ht="245.25" customHeight="1" thickBot="1" x14ac:dyDescent="0.3">
      <c r="B8" s="10"/>
      <c r="C8" s="11" t="s">
        <v>49</v>
      </c>
      <c r="D8" s="15" t="s">
        <v>50</v>
      </c>
      <c r="E8" s="12">
        <v>1</v>
      </c>
      <c r="F8" s="12">
        <v>1</v>
      </c>
      <c r="G8" s="12">
        <v>1</v>
      </c>
      <c r="H8" s="12">
        <v>1</v>
      </c>
      <c r="I8" s="12" t="s">
        <v>33</v>
      </c>
      <c r="J8" s="12" t="s">
        <v>51</v>
      </c>
      <c r="K8" s="12" t="s">
        <v>52</v>
      </c>
      <c r="L8" s="12" t="s">
        <v>53</v>
      </c>
      <c r="M8" s="12"/>
      <c r="N8" s="12"/>
      <c r="O8" s="12"/>
      <c r="P8" s="12" t="str">
        <f>VLOOKUP(D8,[1]Validation!A:V,18,FALSE)</f>
        <v>Conditoin 1.
There has to be at least one head of household 
Condition 2.
And maximum one head per household</v>
      </c>
      <c r="Q8" s="12" t="str">
        <f>VLOOKUP(D8,[1]Validation!A:W,19,FALSE)</f>
        <v>Condition 1 &amp; Condition 2.
THERE MUST BE ONLY ONE PERSON DESIGNATED AS HEAD OF HOUSEHOLD. PLEASE CHECK</v>
      </c>
      <c r="R8" s="12" t="s">
        <v>41</v>
      </c>
      <c r="S8" s="12" t="s">
        <v>30</v>
      </c>
      <c r="T8" s="16" t="s">
        <v>54</v>
      </c>
      <c r="U8" s="12" t="s">
        <v>55</v>
      </c>
      <c r="V8" s="12" t="s">
        <v>56</v>
      </c>
      <c r="W8" s="12" t="s">
        <v>57</v>
      </c>
      <c r="X8" s="12"/>
      <c r="Y8" s="19"/>
    </row>
    <row r="9" spans="1:98" ht="51.75" thickBot="1" x14ac:dyDescent="0.3">
      <c r="B9" s="10"/>
      <c r="C9" s="11" t="s">
        <v>58</v>
      </c>
      <c r="D9" s="15" t="s">
        <v>59</v>
      </c>
      <c r="E9" s="12">
        <v>1</v>
      </c>
      <c r="F9" s="12">
        <v>1</v>
      </c>
      <c r="G9" s="12">
        <v>1</v>
      </c>
      <c r="H9" s="12">
        <v>1</v>
      </c>
      <c r="I9" s="12" t="s">
        <v>33</v>
      </c>
      <c r="J9" s="12" t="s">
        <v>60</v>
      </c>
      <c r="K9" s="12" t="s">
        <v>61</v>
      </c>
      <c r="L9" s="12" t="s">
        <v>62</v>
      </c>
      <c r="M9" s="12"/>
      <c r="N9" s="12"/>
      <c r="O9" s="12"/>
      <c r="P9" s="12" t="e">
        <f>VLOOKUP(D9,[1]Validation!A:V,18,FALSE)</f>
        <v>#N/A</v>
      </c>
      <c r="Q9" s="12" t="e">
        <f>VLOOKUP(D9,[1]Validation!A:W,19,FALSE)</f>
        <v>#N/A</v>
      </c>
      <c r="R9" s="12" t="s">
        <v>29</v>
      </c>
      <c r="S9" s="12" t="s">
        <v>30</v>
      </c>
      <c r="T9" s="12" t="s">
        <v>63</v>
      </c>
      <c r="U9" s="12"/>
      <c r="V9" s="12" t="s">
        <v>64</v>
      </c>
      <c r="W9" s="12" t="s">
        <v>65</v>
      </c>
      <c r="X9" s="16"/>
    </row>
    <row r="10" spans="1:98" ht="99" customHeight="1" thickBot="1" x14ac:dyDescent="0.3">
      <c r="B10" s="10"/>
      <c r="C10" s="11" t="s">
        <v>66</v>
      </c>
      <c r="D10" s="15" t="s">
        <v>67</v>
      </c>
      <c r="E10" s="12">
        <v>1</v>
      </c>
      <c r="F10" s="12">
        <v>1</v>
      </c>
      <c r="G10" s="12">
        <v>1</v>
      </c>
      <c r="H10" s="12">
        <v>1</v>
      </c>
      <c r="I10" s="12" t="s">
        <v>68</v>
      </c>
      <c r="J10" s="12" t="s">
        <v>69</v>
      </c>
      <c r="K10" s="12"/>
      <c r="L10" s="12" t="s">
        <v>70</v>
      </c>
      <c r="M10" s="12"/>
      <c r="N10" s="12"/>
      <c r="O10" s="12"/>
      <c r="P10" s="12" t="str">
        <f>VLOOKUP(D10,[1]Validation!A:V,18,FALSE)</f>
        <v>Condition 1.
Age should (be &gt;= 0 &amp; =&lt; 110) OR (be "998")</v>
      </c>
      <c r="Q10" s="12" t="str">
        <f>VLOOKUP(D10,[1]Validation!A:W,19,FALSE)</f>
        <v>PLEASE ENTER A VALID AGE TO CONTINUE</v>
      </c>
      <c r="R10" s="12" t="s">
        <v>29</v>
      </c>
      <c r="S10" s="12" t="s">
        <v>30</v>
      </c>
      <c r="T10" s="12" t="s">
        <v>71</v>
      </c>
      <c r="U10" s="12"/>
      <c r="V10" s="12" t="s">
        <v>56</v>
      </c>
      <c r="W10" s="12"/>
      <c r="X10" s="16"/>
    </row>
    <row r="11" spans="1:98" ht="90" thickBot="1" x14ac:dyDescent="0.3">
      <c r="B11" s="10"/>
      <c r="C11" s="11" t="s">
        <v>72</v>
      </c>
      <c r="D11" s="15" t="s">
        <v>73</v>
      </c>
      <c r="E11" s="12">
        <v>1</v>
      </c>
      <c r="F11" s="12">
        <v>1</v>
      </c>
      <c r="G11" s="12">
        <v>1</v>
      </c>
      <c r="H11" s="12">
        <v>1</v>
      </c>
      <c r="I11" s="12" t="s">
        <v>68</v>
      </c>
      <c r="J11" s="12" t="s">
        <v>74</v>
      </c>
      <c r="K11" s="12" t="s">
        <v>75</v>
      </c>
      <c r="L11" s="12" t="s">
        <v>76</v>
      </c>
      <c r="M11" s="12" t="s">
        <v>77</v>
      </c>
      <c r="N11" s="12"/>
      <c r="O11" s="12"/>
      <c r="P11" s="25" t="str">
        <f>VLOOKUP(D11,[1]Validation!A:V,18,FALSE)</f>
        <v>Condition 1.
"Year" (should be &gt;= 1900 &amp; =&lt; 2026) OR (be=9998)
Condition 2.
"Month" (should be &gt;= 1 &amp; =&lt; 12) OR (be=98)</v>
      </c>
      <c r="Q11" s="12" t="str">
        <f>VLOOKUP(D11,[1]Validation!A:W,19,FALSE)</f>
        <v>Condition 1.
INVALID YEAR. PLEASE CHECK
Condition 2.
INVALID MONTH. PLEASE CHECK</v>
      </c>
      <c r="R11" s="12" t="s">
        <v>29</v>
      </c>
      <c r="S11" s="12" t="s">
        <v>30</v>
      </c>
      <c r="T11" s="12" t="s">
        <v>71</v>
      </c>
      <c r="U11" s="12"/>
      <c r="V11" s="12" t="s">
        <v>56</v>
      </c>
      <c r="W11" s="12"/>
      <c r="X11" s="16"/>
    </row>
    <row r="12" spans="1:98" s="28" customFormat="1" ht="104.25" customHeight="1" thickBot="1" x14ac:dyDescent="0.3">
      <c r="A12" s="1"/>
      <c r="B12" s="10"/>
      <c r="C12" s="11" t="s">
        <v>78</v>
      </c>
      <c r="D12" s="15" t="s">
        <v>79</v>
      </c>
      <c r="E12" s="12">
        <v>1</v>
      </c>
      <c r="F12" s="12">
        <v>1</v>
      </c>
      <c r="G12" s="12">
        <v>1</v>
      </c>
      <c r="H12" s="12">
        <v>1</v>
      </c>
      <c r="I12" s="12" t="s">
        <v>33</v>
      </c>
      <c r="J12" s="26" t="s">
        <v>80</v>
      </c>
      <c r="K12" s="12"/>
      <c r="L12" s="12" t="s">
        <v>35</v>
      </c>
      <c r="M12" s="12"/>
      <c r="N12" s="12"/>
      <c r="O12" s="12"/>
      <c r="P12" s="12" t="e">
        <f>VLOOKUP(D12,[1]Validation!A:V,18,FALSE)</f>
        <v>#N/A</v>
      </c>
      <c r="Q12" s="12" t="e">
        <f>VLOOKUP(D12,[1]Validation!A:W,19,FALSE)</f>
        <v>#N/A</v>
      </c>
      <c r="R12" s="12" t="s">
        <v>29</v>
      </c>
      <c r="S12" s="12" t="s">
        <v>30</v>
      </c>
      <c r="T12" s="27" t="s">
        <v>81</v>
      </c>
      <c r="U12" s="12"/>
      <c r="V12" s="12"/>
      <c r="W12" s="17"/>
      <c r="X12" s="12"/>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row>
    <row r="13" spans="1:98" s="29" customFormat="1" ht="104.25" customHeight="1" thickBot="1" x14ac:dyDescent="0.3">
      <c r="A13" s="1"/>
      <c r="B13" s="10"/>
      <c r="C13" s="11" t="s">
        <v>82</v>
      </c>
      <c r="D13" s="15" t="s">
        <v>83</v>
      </c>
      <c r="E13" s="12">
        <v>1</v>
      </c>
      <c r="F13" s="12">
        <v>1</v>
      </c>
      <c r="G13" s="12">
        <v>1</v>
      </c>
      <c r="H13" s="12">
        <v>1</v>
      </c>
      <c r="I13" s="12" t="s">
        <v>68</v>
      </c>
      <c r="J13" s="12" t="s">
        <v>84</v>
      </c>
      <c r="K13" s="12"/>
      <c r="L13" s="12" t="s">
        <v>85</v>
      </c>
      <c r="M13" s="12" t="s">
        <v>86</v>
      </c>
      <c r="N13" s="12"/>
      <c r="O13" s="12"/>
      <c r="P13" s="25" t="str">
        <f>VLOOKUP(D13,[1]Validation!A:V,18,FALSE)</f>
        <v>Condition 1.
"Year" (should be &gt;= 1900 &amp; =&lt;2025) OR (be=9998)
Condition 2.
"Month" (should be &gt;= 1 &amp; =&lt; 12) OR (be=98)</v>
      </c>
      <c r="Q13" s="12" t="str">
        <f>VLOOKUP(D13,[1]Validation!A:W,19,FALSE)</f>
        <v>Condition 1.
INVALID YEAR. PLEASE CHECK
Condition 2.
INVALID MONTH. PLEASE CHECK</v>
      </c>
      <c r="R13" s="12" t="s">
        <v>29</v>
      </c>
      <c r="S13" s="12" t="s">
        <v>30</v>
      </c>
      <c r="T13" s="27" t="s">
        <v>81</v>
      </c>
      <c r="U13" s="12"/>
      <c r="V13" s="12"/>
      <c r="W13" s="17"/>
      <c r="X13" s="1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row>
    <row r="14" spans="1:98" ht="178.5" customHeight="1" thickBot="1" x14ac:dyDescent="0.3">
      <c r="B14" s="10"/>
      <c r="C14" s="11" t="s">
        <v>87</v>
      </c>
      <c r="D14" s="15" t="s">
        <v>88</v>
      </c>
      <c r="E14" s="12">
        <v>1</v>
      </c>
      <c r="F14" s="12">
        <v>1</v>
      </c>
      <c r="G14" s="12">
        <v>1</v>
      </c>
      <c r="H14" s="12">
        <v>1</v>
      </c>
      <c r="I14" s="12" t="s">
        <v>68</v>
      </c>
      <c r="J14" s="12" t="s">
        <v>89</v>
      </c>
      <c r="K14" s="12" t="s">
        <v>90</v>
      </c>
      <c r="L14" s="12" t="s">
        <v>91</v>
      </c>
      <c r="M14" s="12" t="s">
        <v>92</v>
      </c>
      <c r="N14" s="12"/>
      <c r="O14" s="12"/>
      <c r="P14" s="12" t="str">
        <f>VLOOKUP(D14,[1]Validation!A:V,18,FALSE)</f>
        <v>Condition 1.
"Years" (should (be &gt;= 0 &amp; =&lt; 110) OR (be=998)
Condition 2.
"Months" (should be &gt;= 0 &amp; =&lt; 11) OR (be=98)</v>
      </c>
      <c r="Q14" s="12" t="str">
        <f>VLOOKUP(D14,[1]Validation!A:W,19,FALSE)</f>
        <v>Condition 1.
NUMBER OF YEARS SEEMS TOO HIGH. PLEASE CHECK 
Condition 2.
NUMBER OF MONTHS SHOULD BE BETWEEN 0 AND 11</v>
      </c>
      <c r="R14" s="12" t="s">
        <v>29</v>
      </c>
      <c r="S14" s="12" t="s">
        <v>30</v>
      </c>
      <c r="T14" s="27" t="s">
        <v>81</v>
      </c>
      <c r="U14" s="12"/>
      <c r="V14" s="12" t="s">
        <v>93</v>
      </c>
      <c r="W14" s="30" t="s">
        <v>94</v>
      </c>
      <c r="X14" s="16"/>
      <c r="Y14" s="31"/>
      <c r="Z14" s="32"/>
      <c r="AA14" s="31" t="s">
        <v>95</v>
      </c>
    </row>
    <row r="15" spans="1:98" ht="282" customHeight="1" thickBot="1" x14ac:dyDescent="0.3">
      <c r="B15" s="10"/>
      <c r="C15" s="11" t="s">
        <v>96</v>
      </c>
      <c r="D15" s="15" t="s">
        <v>97</v>
      </c>
      <c r="E15" s="12">
        <v>1</v>
      </c>
      <c r="F15" s="12">
        <v>1</v>
      </c>
      <c r="G15" s="12">
        <v>1</v>
      </c>
      <c r="H15" s="12">
        <v>1</v>
      </c>
      <c r="I15" s="12" t="s">
        <v>68</v>
      </c>
      <c r="J15" s="12" t="s">
        <v>98</v>
      </c>
      <c r="K15" s="12" t="s">
        <v>99</v>
      </c>
      <c r="L15" s="12" t="s">
        <v>100</v>
      </c>
      <c r="M15" s="12"/>
      <c r="N15" s="12"/>
      <c r="O15" s="12"/>
      <c r="P15" s="12" t="str">
        <f>VLOOKUP(D15,[1]Validation!A:V,18,FALSE)</f>
        <v xml:space="preserve">Condition 1.
Months (should be &gt;= 0 &amp; =&lt; 12) </v>
      </c>
      <c r="Q15" s="12" t="str">
        <f>VLOOKUP(D15,[1]Validation!A:W,19,FALSE)</f>
        <v>INVALID NUMBER OF MONTHS. PLEASE CHECK</v>
      </c>
      <c r="R15" s="12" t="s">
        <v>41</v>
      </c>
      <c r="S15" s="12" t="s">
        <v>30</v>
      </c>
      <c r="T15" s="12" t="s">
        <v>101</v>
      </c>
      <c r="U15" s="12"/>
      <c r="V15" s="12" t="s">
        <v>102</v>
      </c>
      <c r="W15" s="12" t="s">
        <v>103</v>
      </c>
      <c r="X15" s="16"/>
      <c r="Y15" s="19"/>
    </row>
    <row r="16" spans="1:98" s="28" customFormat="1" ht="97.5" customHeight="1" thickBot="1" x14ac:dyDescent="0.3">
      <c r="A16" s="1"/>
      <c r="B16" s="10"/>
      <c r="C16" s="11" t="s">
        <v>104</v>
      </c>
      <c r="D16" s="15" t="s">
        <v>105</v>
      </c>
      <c r="E16" s="12">
        <v>1</v>
      </c>
      <c r="F16" s="12">
        <v>1</v>
      </c>
      <c r="G16" s="12">
        <v>1</v>
      </c>
      <c r="H16" s="12">
        <v>1</v>
      </c>
      <c r="I16" s="12" t="s">
        <v>33</v>
      </c>
      <c r="J16" s="12" t="s">
        <v>106</v>
      </c>
      <c r="K16" s="12"/>
      <c r="L16" s="12" t="s">
        <v>35</v>
      </c>
      <c r="M16" s="12" t="s">
        <v>107</v>
      </c>
      <c r="N16" s="12"/>
      <c r="O16" s="12"/>
      <c r="P16" s="12" t="e">
        <f>VLOOKUP(D16,[1]Validation!A:V,18,FALSE)</f>
        <v>#N/A</v>
      </c>
      <c r="Q16" s="12" t="e">
        <f>VLOOKUP(D16,[1]Validation!A:W,19,FALSE)</f>
        <v>#N/A</v>
      </c>
      <c r="R16" s="12" t="s">
        <v>29</v>
      </c>
      <c r="S16" s="12" t="s">
        <v>30</v>
      </c>
      <c r="T16" s="12" t="s">
        <v>101</v>
      </c>
      <c r="U16" s="12"/>
      <c r="V16" s="12"/>
      <c r="W16" s="12"/>
      <c r="X16" s="16"/>
      <c r="Y16" s="19"/>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row>
    <row r="17" spans="1:43" ht="337.5" customHeight="1" thickBot="1" x14ac:dyDescent="0.3">
      <c r="B17" s="10"/>
      <c r="C17" s="11" t="s">
        <v>108</v>
      </c>
      <c r="D17" s="15" t="s">
        <v>109</v>
      </c>
      <c r="E17" s="12">
        <v>1</v>
      </c>
      <c r="F17" s="12">
        <v>1</v>
      </c>
      <c r="G17" s="12">
        <v>1</v>
      </c>
      <c r="H17" s="12">
        <v>1</v>
      </c>
      <c r="I17" s="12" t="s">
        <v>33</v>
      </c>
      <c r="J17" s="12"/>
      <c r="K17" s="12"/>
      <c r="L17" s="12" t="s">
        <v>110</v>
      </c>
      <c r="M17" s="12" t="s">
        <v>111</v>
      </c>
      <c r="N17" s="12" t="s">
        <v>112</v>
      </c>
      <c r="O17" s="12"/>
      <c r="P17" s="12" t="e">
        <f>VLOOKUP(D17,[1]Validation!A:V,18,FALSE)</f>
        <v>#N/A</v>
      </c>
      <c r="Q17" s="12" t="e">
        <f>VLOOKUP(D17,[1]Validation!A:W,19,FALSE)</f>
        <v>#N/A</v>
      </c>
      <c r="R17" s="12" t="s">
        <v>29</v>
      </c>
      <c r="S17" s="12" t="s">
        <v>30</v>
      </c>
      <c r="T17" s="12" t="s">
        <v>101</v>
      </c>
      <c r="U17" s="12"/>
      <c r="V17" s="12" t="s">
        <v>102</v>
      </c>
      <c r="W17" s="12"/>
      <c r="X17" s="16"/>
    </row>
    <row r="18" spans="1:43" ht="64.5" thickBot="1" x14ac:dyDescent="0.3">
      <c r="B18" s="10"/>
      <c r="C18" s="11" t="s">
        <v>113</v>
      </c>
      <c r="D18" s="15" t="s">
        <v>114</v>
      </c>
      <c r="E18" s="12">
        <v>1</v>
      </c>
      <c r="F18" s="12">
        <v>1</v>
      </c>
      <c r="G18" s="12">
        <v>1</v>
      </c>
      <c r="H18" s="12">
        <v>1</v>
      </c>
      <c r="I18" s="12" t="s">
        <v>33</v>
      </c>
      <c r="J18" s="12" t="s">
        <v>115</v>
      </c>
      <c r="K18" s="12" t="s">
        <v>116</v>
      </c>
      <c r="L18" s="12" t="s">
        <v>117</v>
      </c>
      <c r="M18" s="12" t="s">
        <v>118</v>
      </c>
      <c r="N18" s="12"/>
      <c r="O18" s="12"/>
      <c r="P18" s="12" t="e">
        <f>VLOOKUP(D18,[1]Validation!A:V,18,FALSE)</f>
        <v>#N/A</v>
      </c>
      <c r="Q18" s="12" t="e">
        <f>VLOOKUP(D18,[1]Validation!A:W,19,FALSE)</f>
        <v>#N/A</v>
      </c>
      <c r="R18" s="12" t="s">
        <v>41</v>
      </c>
      <c r="S18" s="12" t="s">
        <v>30</v>
      </c>
      <c r="T18" s="27" t="s">
        <v>119</v>
      </c>
      <c r="U18" s="12"/>
      <c r="V18" s="12" t="s">
        <v>102</v>
      </c>
      <c r="W18" s="12"/>
      <c r="X18" s="16"/>
    </row>
    <row r="19" spans="1:43" ht="17.25" customHeight="1" thickBot="1" x14ac:dyDescent="0.3">
      <c r="B19" s="33" t="s">
        <v>120</v>
      </c>
      <c r="C19" s="34"/>
      <c r="D19" s="34"/>
      <c r="E19" s="34"/>
      <c r="F19" s="34"/>
      <c r="G19" s="34"/>
      <c r="H19" s="34"/>
      <c r="I19" s="34"/>
      <c r="J19" s="34"/>
      <c r="K19" s="34"/>
      <c r="L19" s="34"/>
      <c r="M19" s="34"/>
      <c r="N19" s="34"/>
      <c r="O19" s="34"/>
      <c r="P19" s="34"/>
      <c r="Q19" s="34"/>
      <c r="R19" s="34"/>
      <c r="S19" s="34"/>
      <c r="T19" s="34"/>
      <c r="U19" s="34"/>
      <c r="V19" s="34"/>
      <c r="W19" s="35"/>
      <c r="X19" s="35"/>
    </row>
    <row r="20" spans="1:43" ht="17.25" customHeight="1" thickBot="1" x14ac:dyDescent="0.3">
      <c r="B20" s="33" t="s">
        <v>121</v>
      </c>
      <c r="C20" s="36"/>
      <c r="D20" s="36"/>
      <c r="E20" s="36"/>
      <c r="F20" s="36"/>
      <c r="G20" s="36"/>
      <c r="H20" s="36"/>
      <c r="I20" s="36"/>
      <c r="J20" s="36"/>
      <c r="K20" s="36"/>
      <c r="L20" s="36"/>
      <c r="M20" s="36"/>
      <c r="N20" s="36"/>
      <c r="O20" s="36"/>
      <c r="P20" s="37"/>
      <c r="Q20" s="37"/>
      <c r="R20" s="37"/>
      <c r="S20" s="37"/>
      <c r="T20" s="37"/>
      <c r="U20" s="37"/>
      <c r="V20" s="38"/>
      <c r="W20" s="37"/>
      <c r="X20" s="37"/>
    </row>
    <row r="21" spans="1:43" ht="17.25" customHeight="1" thickBot="1" x14ac:dyDescent="0.3">
      <c r="B21" s="33" t="s">
        <v>122</v>
      </c>
      <c r="C21" s="36"/>
      <c r="D21" s="36"/>
      <c r="E21" s="36"/>
      <c r="F21" s="36"/>
      <c r="G21" s="36"/>
      <c r="H21" s="36"/>
      <c r="I21" s="36"/>
      <c r="J21" s="36"/>
      <c r="K21" s="36"/>
      <c r="L21" s="36"/>
      <c r="M21" s="36"/>
      <c r="N21" s="36"/>
      <c r="O21" s="36"/>
      <c r="P21" s="36"/>
      <c r="Q21" s="36"/>
      <c r="R21" s="36"/>
      <c r="S21" s="36"/>
      <c r="T21" s="36"/>
      <c r="U21" s="36"/>
      <c r="V21" s="36"/>
      <c r="W21" s="36"/>
      <c r="X21" s="36"/>
    </row>
    <row r="22" spans="1:43" ht="90" thickBot="1" x14ac:dyDescent="0.3">
      <c r="A22" s="19"/>
      <c r="B22" s="10"/>
      <c r="C22" s="39" t="s">
        <v>123</v>
      </c>
      <c r="D22" s="15" t="s">
        <v>124</v>
      </c>
      <c r="E22" s="12">
        <v>1</v>
      </c>
      <c r="F22" s="12">
        <v>1</v>
      </c>
      <c r="G22" s="12">
        <v>1</v>
      </c>
      <c r="H22" s="12">
        <v>1</v>
      </c>
      <c r="I22" s="12" t="s">
        <v>33</v>
      </c>
      <c r="J22" s="12" t="s">
        <v>125</v>
      </c>
      <c r="K22" s="12"/>
      <c r="L22" s="12" t="s">
        <v>126</v>
      </c>
      <c r="M22" s="12"/>
      <c r="N22" s="12"/>
      <c r="O22" s="12"/>
      <c r="P22" s="12" t="e">
        <f>VLOOKUP(D22,[1]Validation!A:V,18,FALSE)</f>
        <v>#N/A</v>
      </c>
      <c r="Q22" s="12" t="e">
        <f>VLOOKUP(D22,[1]Validation!A:W,19,FALSE)</f>
        <v>#N/A</v>
      </c>
      <c r="R22" s="12" t="s">
        <v>127</v>
      </c>
      <c r="S22" s="12" t="s">
        <v>30</v>
      </c>
      <c r="T22" s="12" t="s">
        <v>128</v>
      </c>
      <c r="U22" s="12"/>
      <c r="V22" s="12" t="s">
        <v>64</v>
      </c>
      <c r="W22" s="12" t="s">
        <v>129</v>
      </c>
      <c r="X22" s="12" t="s">
        <v>130</v>
      </c>
    </row>
    <row r="23" spans="1:43" ht="72" customHeight="1" thickBot="1" x14ac:dyDescent="0.3">
      <c r="B23" s="40"/>
      <c r="C23" s="16" t="s">
        <v>131</v>
      </c>
      <c r="D23" s="41" t="s">
        <v>132</v>
      </c>
      <c r="E23" s="16">
        <v>1</v>
      </c>
      <c r="F23" s="16">
        <v>1</v>
      </c>
      <c r="G23" s="16">
        <v>1</v>
      </c>
      <c r="H23" s="16">
        <v>1</v>
      </c>
      <c r="I23" s="16" t="s">
        <v>33</v>
      </c>
      <c r="J23" s="16" t="s">
        <v>133</v>
      </c>
      <c r="K23" s="16"/>
      <c r="L23" s="16" t="s">
        <v>35</v>
      </c>
      <c r="M23" s="16" t="s">
        <v>134</v>
      </c>
      <c r="N23" s="16"/>
      <c r="O23" s="16"/>
      <c r="P23" s="16" t="e">
        <f>VLOOKUP(D23,[1]Validation!A:V,18,FALSE)</f>
        <v>#N/A</v>
      </c>
      <c r="Q23" s="16" t="e">
        <f>VLOOKUP(D23,[1]Validation!A:W,19,FALSE)</f>
        <v>#N/A</v>
      </c>
      <c r="R23" s="12" t="s">
        <v>127</v>
      </c>
      <c r="S23" s="12" t="s">
        <v>30</v>
      </c>
      <c r="T23" s="12" t="s">
        <v>135</v>
      </c>
      <c r="U23" s="42"/>
      <c r="V23" s="42" t="s">
        <v>136</v>
      </c>
      <c r="W23" s="42"/>
      <c r="X23" s="43"/>
    </row>
    <row r="24" spans="1:43" ht="81.95" customHeight="1" thickBot="1" x14ac:dyDescent="0.3">
      <c r="B24" s="10"/>
      <c r="C24" s="11" t="s">
        <v>137</v>
      </c>
      <c r="D24" s="20" t="s">
        <v>138</v>
      </c>
      <c r="E24" s="16">
        <v>1</v>
      </c>
      <c r="F24" s="16">
        <v>1</v>
      </c>
      <c r="G24" s="16">
        <v>1</v>
      </c>
      <c r="H24" s="16">
        <v>1</v>
      </c>
      <c r="I24" s="16" t="s">
        <v>33</v>
      </c>
      <c r="J24" s="16" t="s">
        <v>139</v>
      </c>
      <c r="K24" s="16"/>
      <c r="L24" s="16" t="s">
        <v>35</v>
      </c>
      <c r="M24" s="16" t="s">
        <v>134</v>
      </c>
      <c r="N24" s="16"/>
      <c r="O24" s="16"/>
      <c r="P24" s="16" t="e">
        <f>VLOOKUP(D24,[1]Validation!A:V,18,FALSE)</f>
        <v>#N/A</v>
      </c>
      <c r="Q24" s="16" t="e">
        <f>VLOOKUP(D24,[1]Validation!A:W,19,FALSE)</f>
        <v>#N/A</v>
      </c>
      <c r="R24" s="12" t="s">
        <v>127</v>
      </c>
      <c r="S24" s="12" t="s">
        <v>30</v>
      </c>
      <c r="T24" s="12" t="s">
        <v>140</v>
      </c>
      <c r="U24" s="12"/>
      <c r="V24" s="12"/>
      <c r="W24" s="12"/>
      <c r="X24" s="16"/>
    </row>
    <row r="25" spans="1:43" s="10" customFormat="1" ht="102.75" thickBot="1" x14ac:dyDescent="0.3">
      <c r="C25" s="16" t="s">
        <v>141</v>
      </c>
      <c r="D25" s="20" t="s">
        <v>142</v>
      </c>
      <c r="E25" s="16">
        <v>1</v>
      </c>
      <c r="F25" s="16">
        <v>1</v>
      </c>
      <c r="G25" s="16">
        <v>1</v>
      </c>
      <c r="H25" s="16"/>
      <c r="I25" s="16" t="s">
        <v>33</v>
      </c>
      <c r="J25" s="44" t="s">
        <v>143</v>
      </c>
      <c r="K25" s="16"/>
      <c r="L25" s="44" t="s">
        <v>144</v>
      </c>
      <c r="M25" s="44" t="s">
        <v>145</v>
      </c>
      <c r="N25" s="16"/>
      <c r="O25" s="16"/>
      <c r="P25" s="16" t="e">
        <f>VLOOKUP(D25,[1]Validation!A:V,18,FALSE)</f>
        <v>#N/A</v>
      </c>
      <c r="Q25" s="16" t="e">
        <f>VLOOKUP(D25,[1]Validation!A:W,19,FALSE)</f>
        <v>#N/A</v>
      </c>
      <c r="R25" s="16" t="s">
        <v>127</v>
      </c>
      <c r="S25" s="16" t="s">
        <v>30</v>
      </c>
      <c r="T25" s="16" t="s">
        <v>146</v>
      </c>
      <c r="U25" s="16"/>
      <c r="V25" s="16" t="s">
        <v>64</v>
      </c>
      <c r="W25" s="16"/>
      <c r="X25" s="16"/>
      <c r="Y25" s="45"/>
    </row>
    <row r="26" spans="1:43" s="48" customFormat="1" ht="51.75" thickBot="1" x14ac:dyDescent="0.3">
      <c r="A26" s="10"/>
      <c r="B26" s="10"/>
      <c r="C26" s="16"/>
      <c r="D26" s="20" t="s">
        <v>147</v>
      </c>
      <c r="E26" s="21">
        <v>1</v>
      </c>
      <c r="F26" s="21">
        <v>1</v>
      </c>
      <c r="G26" s="21">
        <v>1</v>
      </c>
      <c r="H26" s="16"/>
      <c r="I26" s="16" t="s">
        <v>33</v>
      </c>
      <c r="J26" s="46" t="s">
        <v>148</v>
      </c>
      <c r="K26" s="16"/>
      <c r="L26" s="16" t="s">
        <v>35</v>
      </c>
      <c r="M26" s="16" t="s">
        <v>149</v>
      </c>
      <c r="N26" s="16"/>
      <c r="O26" s="16"/>
      <c r="P26" s="16"/>
      <c r="Q26" s="16"/>
      <c r="R26" s="16" t="s">
        <v>127</v>
      </c>
      <c r="S26" s="16" t="s">
        <v>150</v>
      </c>
      <c r="T26" s="16"/>
      <c r="U26" s="47" t="s">
        <v>151</v>
      </c>
      <c r="V26" s="16"/>
      <c r="W26" s="16"/>
      <c r="X26" s="16"/>
      <c r="Y26" s="45"/>
      <c r="Z26" s="10"/>
      <c r="AA26" s="10"/>
      <c r="AB26" s="10"/>
      <c r="AC26" s="10"/>
      <c r="AD26" s="10"/>
      <c r="AE26" s="10"/>
      <c r="AF26" s="10"/>
      <c r="AG26" s="10"/>
      <c r="AH26" s="10"/>
      <c r="AI26" s="10"/>
      <c r="AJ26" s="10"/>
      <c r="AK26" s="10"/>
      <c r="AL26" s="10"/>
      <c r="AM26" s="10"/>
      <c r="AN26" s="10"/>
      <c r="AO26" s="10"/>
      <c r="AP26" s="10"/>
      <c r="AQ26" s="10"/>
    </row>
    <row r="27" spans="1:43" s="23" customFormat="1" ht="51.75" thickBot="1" x14ac:dyDescent="0.3">
      <c r="A27" s="1"/>
      <c r="B27" s="24"/>
      <c r="C27" s="11"/>
      <c r="D27" s="15" t="s">
        <v>152</v>
      </c>
      <c r="E27" s="49">
        <v>1</v>
      </c>
      <c r="F27" s="21">
        <v>1</v>
      </c>
      <c r="G27" s="21">
        <v>1</v>
      </c>
      <c r="H27" s="16"/>
      <c r="I27" s="16" t="s">
        <v>33</v>
      </c>
      <c r="J27" s="46" t="s">
        <v>153</v>
      </c>
      <c r="K27" s="16"/>
      <c r="L27" s="16" t="s">
        <v>35</v>
      </c>
      <c r="M27" s="16" t="s">
        <v>154</v>
      </c>
      <c r="N27" s="12"/>
      <c r="O27" s="12"/>
      <c r="P27" s="12"/>
      <c r="Q27" s="12"/>
      <c r="R27" s="16" t="s">
        <v>127</v>
      </c>
      <c r="S27" s="12" t="s">
        <v>150</v>
      </c>
      <c r="T27" s="12"/>
      <c r="U27" s="47" t="s">
        <v>151</v>
      </c>
      <c r="V27" s="12"/>
      <c r="W27" s="12"/>
      <c r="X27" s="11"/>
      <c r="Y27" s="19"/>
      <c r="Z27" s="1"/>
      <c r="AA27" s="1"/>
      <c r="AB27" s="1"/>
      <c r="AC27" s="1"/>
      <c r="AD27" s="1"/>
      <c r="AE27" s="1"/>
      <c r="AF27" s="1"/>
      <c r="AG27" s="1"/>
      <c r="AH27" s="1"/>
      <c r="AI27" s="1"/>
      <c r="AJ27" s="1"/>
      <c r="AK27" s="1"/>
      <c r="AL27" s="1"/>
      <c r="AM27" s="1"/>
      <c r="AN27" s="1"/>
      <c r="AO27" s="1"/>
      <c r="AP27" s="1"/>
      <c r="AQ27" s="1"/>
    </row>
    <row r="28" spans="1:43" ht="66" customHeight="1" thickBot="1" x14ac:dyDescent="0.3">
      <c r="B28" s="10"/>
      <c r="C28" s="11" t="s">
        <v>155</v>
      </c>
      <c r="D28" s="15" t="s">
        <v>156</v>
      </c>
      <c r="E28" s="12">
        <v>1</v>
      </c>
      <c r="F28" s="12">
        <v>1</v>
      </c>
      <c r="G28" s="12">
        <v>1</v>
      </c>
      <c r="H28" s="50"/>
      <c r="I28" s="50" t="s">
        <v>68</v>
      </c>
      <c r="J28" s="16" t="s">
        <v>157</v>
      </c>
      <c r="K28" s="12"/>
      <c r="L28" s="12" t="s">
        <v>158</v>
      </c>
      <c r="M28" s="44" t="s">
        <v>159</v>
      </c>
      <c r="N28" s="12"/>
      <c r="O28" s="12"/>
      <c r="P28" s="44" t="str">
        <f>VLOOKUP(D28,[1]Validation!A:V,18,FALSE)</f>
        <v>Condition 1.
Age (should be &gt; =10 &amp; =&lt;90) OR (be = 98)</v>
      </c>
      <c r="Q28" s="44" t="str">
        <f>VLOOKUP(D28,[1]Validation!A:W,19,FALSE)</f>
        <v>Condition 1.
[NAME] SEEMS TOO YOUNG TO BE MARRIED. PLEASE CHECK</v>
      </c>
      <c r="R28" s="16" t="s">
        <v>127</v>
      </c>
      <c r="S28" s="12" t="s">
        <v>30</v>
      </c>
      <c r="T28" s="12" t="s">
        <v>160</v>
      </c>
      <c r="U28" s="12"/>
      <c r="V28" s="12" t="s">
        <v>64</v>
      </c>
      <c r="W28" s="12"/>
      <c r="X28" s="16"/>
      <c r="Y28" s="19"/>
    </row>
    <row r="29" spans="1:43" ht="102.75" thickBot="1" x14ac:dyDescent="0.3">
      <c r="B29" s="10"/>
      <c r="C29" s="11" t="s">
        <v>161</v>
      </c>
      <c r="D29" s="15" t="s">
        <v>162</v>
      </c>
      <c r="E29" s="12" t="s">
        <v>163</v>
      </c>
      <c r="F29" s="12">
        <v>1</v>
      </c>
      <c r="G29" s="12">
        <v>1</v>
      </c>
      <c r="H29" s="12"/>
      <c r="I29" s="12" t="s">
        <v>68</v>
      </c>
      <c r="J29" s="25" t="s">
        <v>164</v>
      </c>
      <c r="K29" s="12" t="s">
        <v>165</v>
      </c>
      <c r="L29" s="12" t="s">
        <v>166</v>
      </c>
      <c r="M29" s="12" t="s">
        <v>167</v>
      </c>
      <c r="N29" s="12"/>
      <c r="O29" s="12"/>
      <c r="P29" s="12" t="e">
        <f>VLOOKUP(D29,[1]Validation!A:V,18,FALSE)</f>
        <v>#N/A</v>
      </c>
      <c r="Q29" s="12" t="e">
        <f>VLOOKUP(D29,[1]Validation!A:W,19,FALSE)</f>
        <v>#N/A</v>
      </c>
      <c r="R29" s="12" t="s">
        <v>127</v>
      </c>
      <c r="S29" s="12" t="s">
        <v>30</v>
      </c>
      <c r="T29" s="12" t="s">
        <v>168</v>
      </c>
      <c r="U29" s="12"/>
      <c r="V29" s="12" t="s">
        <v>56</v>
      </c>
      <c r="W29" s="12"/>
      <c r="X29" s="16"/>
    </row>
    <row r="30" spans="1:43" ht="51.75" thickBot="1" x14ac:dyDescent="0.3">
      <c r="B30" s="10"/>
      <c r="C30" s="11" t="s">
        <v>169</v>
      </c>
      <c r="D30" s="15" t="s">
        <v>170</v>
      </c>
      <c r="E30" s="12">
        <v>3</v>
      </c>
      <c r="F30" s="12">
        <v>1</v>
      </c>
      <c r="G30" s="12">
        <v>1</v>
      </c>
      <c r="H30" s="12"/>
      <c r="I30" s="12" t="s">
        <v>33</v>
      </c>
      <c r="J30" s="12" t="s">
        <v>171</v>
      </c>
      <c r="K30" s="12"/>
      <c r="L30" s="12" t="s">
        <v>35</v>
      </c>
      <c r="M30" s="12" t="s">
        <v>172</v>
      </c>
      <c r="N30" s="12"/>
      <c r="O30" s="12"/>
      <c r="P30" s="12" t="e">
        <f>VLOOKUP(D30,[1]Validation!A:V,18,FALSE)</f>
        <v>#N/A</v>
      </c>
      <c r="Q30" s="12" t="e">
        <f>VLOOKUP(D30,[1]Validation!A:W,19,FALSE)</f>
        <v>#N/A</v>
      </c>
      <c r="R30" s="12" t="s">
        <v>173</v>
      </c>
      <c r="S30" s="12"/>
      <c r="T30" s="12"/>
      <c r="U30" s="12"/>
      <c r="V30" s="12" t="s">
        <v>174</v>
      </c>
      <c r="W30" s="12"/>
      <c r="X30" s="10"/>
    </row>
    <row r="31" spans="1:43" ht="102.75" thickBot="1" x14ac:dyDescent="0.3">
      <c r="B31" s="10"/>
      <c r="C31" s="11" t="s">
        <v>175</v>
      </c>
      <c r="D31" s="15" t="s">
        <v>176</v>
      </c>
      <c r="E31" s="12">
        <v>3</v>
      </c>
      <c r="F31" s="12">
        <v>1</v>
      </c>
      <c r="G31" s="12">
        <v>1</v>
      </c>
      <c r="H31" s="12"/>
      <c r="I31" s="12" t="s">
        <v>33</v>
      </c>
      <c r="J31" s="12" t="s">
        <v>177</v>
      </c>
      <c r="K31" s="12"/>
      <c r="L31" s="12" t="s">
        <v>178</v>
      </c>
      <c r="M31" s="12" t="s">
        <v>179</v>
      </c>
      <c r="N31" s="12"/>
      <c r="O31" s="12"/>
      <c r="P31" s="12" t="e">
        <f>VLOOKUP(D31,[1]Validation!A:V,18,FALSE)</f>
        <v>#N/A</v>
      </c>
      <c r="Q31" s="12" t="e">
        <f>VLOOKUP(D31,[1]Validation!A:W,19,FALSE)</f>
        <v>#N/A</v>
      </c>
      <c r="R31" s="12" t="s">
        <v>180</v>
      </c>
      <c r="S31" s="12"/>
      <c r="T31" s="12"/>
      <c r="U31" s="12"/>
      <c r="V31" s="12" t="s">
        <v>174</v>
      </c>
      <c r="W31" s="12"/>
      <c r="X31" s="12" t="s">
        <v>181</v>
      </c>
    </row>
    <row r="32" spans="1:43" ht="51.75" thickBot="1" x14ac:dyDescent="0.3">
      <c r="B32" s="10"/>
      <c r="C32" s="11" t="s">
        <v>182</v>
      </c>
      <c r="D32" s="15" t="s">
        <v>183</v>
      </c>
      <c r="E32" s="12">
        <v>2</v>
      </c>
      <c r="F32" s="12">
        <v>1</v>
      </c>
      <c r="G32" s="12">
        <v>1</v>
      </c>
      <c r="H32" s="12"/>
      <c r="I32" s="12" t="s">
        <v>184</v>
      </c>
      <c r="J32" s="12" t="s">
        <v>185</v>
      </c>
      <c r="K32" s="12" t="s">
        <v>186</v>
      </c>
      <c r="L32" s="12" t="s">
        <v>187</v>
      </c>
      <c r="M32" s="12" t="s">
        <v>188</v>
      </c>
      <c r="N32" s="12"/>
      <c r="O32" s="12"/>
      <c r="P32" s="12" t="s">
        <v>189</v>
      </c>
      <c r="Q32" s="12" t="s">
        <v>190</v>
      </c>
      <c r="R32" s="12" t="s">
        <v>127</v>
      </c>
      <c r="S32" s="12" t="s">
        <v>30</v>
      </c>
      <c r="T32" s="12" t="s">
        <v>191</v>
      </c>
      <c r="U32" s="12"/>
      <c r="V32" s="12" t="s">
        <v>56</v>
      </c>
      <c r="W32" s="12"/>
      <c r="X32" s="10"/>
    </row>
    <row r="33" spans="2:24" ht="64.5" thickBot="1" x14ac:dyDescent="0.3">
      <c r="B33" s="24"/>
      <c r="C33" s="11" t="s">
        <v>192</v>
      </c>
      <c r="D33" s="15" t="s">
        <v>193</v>
      </c>
      <c r="E33" s="12">
        <v>1</v>
      </c>
      <c r="F33" s="12">
        <v>1</v>
      </c>
      <c r="G33" s="12">
        <v>1</v>
      </c>
      <c r="H33" s="12"/>
      <c r="I33" s="12" t="s">
        <v>33</v>
      </c>
      <c r="J33" s="12" t="s">
        <v>194</v>
      </c>
      <c r="K33" s="12"/>
      <c r="L33" s="12" t="s">
        <v>195</v>
      </c>
      <c r="M33" s="12" t="s">
        <v>196</v>
      </c>
      <c r="N33" s="12"/>
      <c r="O33" s="12"/>
      <c r="P33" s="12" t="e">
        <f>VLOOKUP(D33,[1]Validation!A:V,18,FALSE)</f>
        <v>#N/A</v>
      </c>
      <c r="Q33" s="12" t="e">
        <f>VLOOKUP(D33,[1]Validation!A:W,19,FALSE)</f>
        <v>#N/A</v>
      </c>
      <c r="R33" s="12" t="s">
        <v>127</v>
      </c>
      <c r="S33" s="12" t="s">
        <v>30</v>
      </c>
      <c r="T33" s="12" t="s">
        <v>197</v>
      </c>
      <c r="U33" s="12" t="s">
        <v>55</v>
      </c>
      <c r="V33" s="12" t="s">
        <v>198</v>
      </c>
      <c r="W33" s="12"/>
      <c r="X33" s="12" t="s">
        <v>199</v>
      </c>
    </row>
    <row r="34" spans="2:24" ht="26.25" thickBot="1" x14ac:dyDescent="0.3">
      <c r="B34" s="10"/>
      <c r="C34" s="11" t="s">
        <v>200</v>
      </c>
      <c r="D34" s="15" t="s">
        <v>201</v>
      </c>
      <c r="E34" s="12">
        <v>1</v>
      </c>
      <c r="F34" s="12">
        <v>1</v>
      </c>
      <c r="G34" s="12">
        <v>1</v>
      </c>
      <c r="H34" s="12"/>
      <c r="I34" s="12" t="s">
        <v>68</v>
      </c>
      <c r="J34" s="12" t="s">
        <v>202</v>
      </c>
      <c r="K34" s="51" t="s">
        <v>203</v>
      </c>
      <c r="L34" s="12" t="s">
        <v>204</v>
      </c>
      <c r="M34" s="12" t="s">
        <v>205</v>
      </c>
      <c r="N34" s="12"/>
      <c r="O34" s="12"/>
      <c r="P34" s="12" t="e">
        <f>VLOOKUP(D34,[1]Validation!A:V,18,FALSE)</f>
        <v>#N/A</v>
      </c>
      <c r="Q34" s="12" t="e">
        <f>VLOOKUP(D34,[1]Validation!A:W,19,FALSE)</f>
        <v>#N/A</v>
      </c>
      <c r="R34" s="12" t="s">
        <v>206</v>
      </c>
      <c r="S34" s="12" t="s">
        <v>30</v>
      </c>
      <c r="T34" s="12" t="s">
        <v>207</v>
      </c>
      <c r="U34" s="12"/>
      <c r="V34" s="12" t="s">
        <v>56</v>
      </c>
      <c r="W34" s="12"/>
      <c r="X34" s="10"/>
    </row>
    <row r="35" spans="2:24" ht="57" customHeight="1" thickBot="1" x14ac:dyDescent="0.3">
      <c r="B35" s="10"/>
      <c r="C35" s="11" t="s">
        <v>208</v>
      </c>
      <c r="D35" s="52" t="s">
        <v>209</v>
      </c>
      <c r="E35" s="12">
        <v>2</v>
      </c>
      <c r="F35" s="12">
        <v>3</v>
      </c>
      <c r="G35" s="12"/>
      <c r="H35" s="12"/>
      <c r="I35" s="12" t="s">
        <v>33</v>
      </c>
      <c r="J35" s="12" t="s">
        <v>210</v>
      </c>
      <c r="K35" s="12"/>
      <c r="L35" s="12" t="s">
        <v>211</v>
      </c>
      <c r="M35" s="16" t="s">
        <v>212</v>
      </c>
      <c r="N35" s="12"/>
      <c r="O35" s="12" t="s">
        <v>213</v>
      </c>
      <c r="P35" s="12" t="e">
        <f>VLOOKUP(D35,[1]Validation!A:V,18,FALSE)</f>
        <v>#N/A</v>
      </c>
      <c r="Q35" s="12" t="e">
        <f>VLOOKUP(D35,[1]Validation!A:W,19,FALSE)</f>
        <v>#N/A</v>
      </c>
      <c r="R35" s="12" t="s">
        <v>127</v>
      </c>
      <c r="S35" s="12" t="s">
        <v>30</v>
      </c>
      <c r="T35" s="12" t="s">
        <v>207</v>
      </c>
      <c r="U35" s="12"/>
      <c r="V35" s="12" t="s">
        <v>56</v>
      </c>
      <c r="W35" s="12"/>
      <c r="X35" s="10"/>
    </row>
    <row r="36" spans="2:24" ht="51.75" thickBot="1" x14ac:dyDescent="0.3">
      <c r="B36" s="10"/>
      <c r="C36" s="11" t="s">
        <v>214</v>
      </c>
      <c r="D36" s="15" t="s">
        <v>215</v>
      </c>
      <c r="E36" s="12">
        <v>2</v>
      </c>
      <c r="F36" s="12">
        <v>1</v>
      </c>
      <c r="G36" s="12">
        <v>1</v>
      </c>
      <c r="H36" s="12"/>
      <c r="I36" s="12" t="s">
        <v>33</v>
      </c>
      <c r="J36" s="12" t="s">
        <v>216</v>
      </c>
      <c r="K36" s="12"/>
      <c r="L36" s="12" t="s">
        <v>35</v>
      </c>
      <c r="M36" s="12" t="s">
        <v>217</v>
      </c>
      <c r="N36" s="12"/>
      <c r="O36" s="12"/>
      <c r="P36" s="12" t="e">
        <f>VLOOKUP(D36,[1]Validation!A:V,18,FALSE)</f>
        <v>#N/A</v>
      </c>
      <c r="Q36" s="12" t="e">
        <f>VLOOKUP(D36,[1]Validation!A:W,19,FALSE)</f>
        <v>#N/A</v>
      </c>
      <c r="R36" s="12" t="s">
        <v>127</v>
      </c>
      <c r="S36" s="12" t="s">
        <v>150</v>
      </c>
      <c r="T36" s="12"/>
      <c r="U36" s="13" t="s">
        <v>218</v>
      </c>
      <c r="V36" s="12" t="s">
        <v>219</v>
      </c>
      <c r="W36" s="12"/>
      <c r="X36" s="10"/>
    </row>
    <row r="37" spans="2:24" ht="64.5" thickBot="1" x14ac:dyDescent="0.3">
      <c r="B37" s="10"/>
      <c r="C37" s="11" t="s">
        <v>220</v>
      </c>
      <c r="D37" s="15" t="s">
        <v>221</v>
      </c>
      <c r="E37" s="12">
        <v>1</v>
      </c>
      <c r="F37" s="12">
        <v>1</v>
      </c>
      <c r="G37" s="12">
        <v>1</v>
      </c>
      <c r="H37" s="12"/>
      <c r="I37" s="12" t="s">
        <v>33</v>
      </c>
      <c r="J37" s="12" t="s">
        <v>222</v>
      </c>
      <c r="K37" s="12"/>
      <c r="L37" s="12" t="s">
        <v>223</v>
      </c>
      <c r="M37" s="12" t="s">
        <v>224</v>
      </c>
      <c r="N37" s="12"/>
      <c r="O37" s="10"/>
      <c r="P37" s="12" t="e">
        <f>VLOOKUP(D37,[1]Validation!A:V,18,FALSE)</f>
        <v>#N/A</v>
      </c>
      <c r="Q37" s="12" t="e">
        <f>VLOOKUP(D37,[1]Validation!A:W,19,FALSE)</f>
        <v>#N/A</v>
      </c>
      <c r="R37" s="12" t="s">
        <v>127</v>
      </c>
      <c r="S37" s="12" t="s">
        <v>30</v>
      </c>
      <c r="T37" s="12" t="s">
        <v>207</v>
      </c>
      <c r="U37" s="12" t="s">
        <v>55</v>
      </c>
      <c r="V37" s="12" t="s">
        <v>198</v>
      </c>
      <c r="W37" s="12"/>
      <c r="X37" s="10"/>
    </row>
    <row r="38" spans="2:24" ht="26.25" thickBot="1" x14ac:dyDescent="0.3">
      <c r="B38" s="10"/>
      <c r="C38" s="11" t="s">
        <v>225</v>
      </c>
      <c r="D38" s="15" t="s">
        <v>226</v>
      </c>
      <c r="E38" s="12">
        <v>1</v>
      </c>
      <c r="F38" s="12">
        <v>1</v>
      </c>
      <c r="G38" s="12">
        <v>1</v>
      </c>
      <c r="H38" s="12"/>
      <c r="I38" s="12" t="s">
        <v>68</v>
      </c>
      <c r="J38" s="12" t="s">
        <v>227</v>
      </c>
      <c r="K38" s="51" t="s">
        <v>203</v>
      </c>
      <c r="L38" s="12" t="s">
        <v>204</v>
      </c>
      <c r="M38" s="12" t="s">
        <v>228</v>
      </c>
      <c r="N38" s="12"/>
      <c r="O38" s="16"/>
      <c r="P38" s="12" t="e">
        <f>VLOOKUP(D38,[1]Validation!A:V,18,FALSE)</f>
        <v>#N/A</v>
      </c>
      <c r="Q38" s="12" t="e">
        <f>VLOOKUP(D38,[1]Validation!A:W,19,FALSE)</f>
        <v>#N/A</v>
      </c>
      <c r="R38" s="12" t="s">
        <v>127</v>
      </c>
      <c r="S38" s="12" t="s">
        <v>30</v>
      </c>
      <c r="T38" s="12" t="s">
        <v>207</v>
      </c>
      <c r="U38" s="12"/>
      <c r="V38" s="12" t="s">
        <v>56</v>
      </c>
      <c r="W38" s="12"/>
      <c r="X38" s="10"/>
    </row>
    <row r="39" spans="2:24" ht="58.5" customHeight="1" thickBot="1" x14ac:dyDescent="0.3">
      <c r="B39" s="10"/>
      <c r="C39" s="11" t="s">
        <v>229</v>
      </c>
      <c r="D39" s="52" t="s">
        <v>230</v>
      </c>
      <c r="E39" s="12">
        <v>2</v>
      </c>
      <c r="F39" s="12">
        <v>3</v>
      </c>
      <c r="G39" s="12"/>
      <c r="H39" s="12"/>
      <c r="I39" s="12" t="s">
        <v>33</v>
      </c>
      <c r="J39" s="12" t="s">
        <v>231</v>
      </c>
      <c r="K39" s="12"/>
      <c r="L39" s="12" t="s">
        <v>211</v>
      </c>
      <c r="M39" s="12"/>
      <c r="N39" s="12"/>
      <c r="O39" s="12" t="s">
        <v>232</v>
      </c>
      <c r="P39" s="12" t="e">
        <f>VLOOKUP(D39,[1]Validation!A:V,18,FALSE)</f>
        <v>#N/A</v>
      </c>
      <c r="Q39" s="12" t="e">
        <f>VLOOKUP(D39,[1]Validation!A:W,19,FALSE)</f>
        <v>#N/A</v>
      </c>
      <c r="R39" s="12" t="s">
        <v>127</v>
      </c>
      <c r="S39" s="12" t="s">
        <v>30</v>
      </c>
      <c r="T39" s="12" t="s">
        <v>207</v>
      </c>
      <c r="U39" s="12"/>
      <c r="V39" s="12" t="s">
        <v>56</v>
      </c>
      <c r="W39" s="12"/>
      <c r="X39" s="10"/>
    </row>
    <row r="40" spans="2:24" ht="51.75" thickBot="1" x14ac:dyDescent="0.3">
      <c r="B40" s="10"/>
      <c r="C40" s="11" t="s">
        <v>233</v>
      </c>
      <c r="D40" s="15" t="s">
        <v>234</v>
      </c>
      <c r="E40" s="12">
        <v>2</v>
      </c>
      <c r="F40" s="12">
        <v>1</v>
      </c>
      <c r="G40" s="12">
        <v>1</v>
      </c>
      <c r="H40" s="12"/>
      <c r="I40" s="12" t="s">
        <v>33</v>
      </c>
      <c r="J40" s="12" t="s">
        <v>235</v>
      </c>
      <c r="K40" s="12"/>
      <c r="L40" s="12" t="s">
        <v>236</v>
      </c>
      <c r="M40" s="12" t="s">
        <v>237</v>
      </c>
      <c r="N40" s="12"/>
      <c r="O40" s="12"/>
      <c r="P40" s="12" t="e">
        <f>VLOOKUP(D40,[1]Validation!A:V,18,FALSE)</f>
        <v>#N/A</v>
      </c>
      <c r="Q40" s="12" t="e">
        <f>VLOOKUP(D40,[1]Validation!A:W,19,FALSE)</f>
        <v>#N/A</v>
      </c>
      <c r="R40" s="12" t="s">
        <v>127</v>
      </c>
      <c r="S40" s="12" t="s">
        <v>150</v>
      </c>
      <c r="T40" s="12"/>
      <c r="U40" s="13" t="s">
        <v>218</v>
      </c>
      <c r="V40" s="12" t="s">
        <v>219</v>
      </c>
      <c r="W40" s="12"/>
      <c r="X40" s="10"/>
    </row>
    <row r="41" spans="2:24" ht="87" customHeight="1" thickBot="1" x14ac:dyDescent="0.3">
      <c r="B41" s="10"/>
      <c r="C41" s="11" t="s">
        <v>238</v>
      </c>
      <c r="D41" s="15" t="s">
        <v>239</v>
      </c>
      <c r="E41" s="12">
        <v>1</v>
      </c>
      <c r="F41" s="12">
        <v>1</v>
      </c>
      <c r="G41" s="12">
        <v>1</v>
      </c>
      <c r="H41" s="12"/>
      <c r="I41" s="12" t="s">
        <v>68</v>
      </c>
      <c r="J41" s="12" t="s">
        <v>240</v>
      </c>
      <c r="K41" s="51" t="s">
        <v>203</v>
      </c>
      <c r="L41" s="12" t="s">
        <v>204</v>
      </c>
      <c r="M41" s="12" t="s">
        <v>241</v>
      </c>
      <c r="N41" s="12"/>
      <c r="O41" s="12"/>
      <c r="P41" s="12" t="e">
        <f>VLOOKUP(D41,[1]Validation!A:V,18,FALSE)</f>
        <v>#N/A</v>
      </c>
      <c r="Q41" s="12" t="e">
        <f>VLOOKUP(D41,[1]Validation!A:W,19,FALSE)</f>
        <v>#N/A</v>
      </c>
      <c r="R41" s="12" t="s">
        <v>127</v>
      </c>
      <c r="S41" s="12" t="s">
        <v>30</v>
      </c>
      <c r="T41" s="12" t="s">
        <v>242</v>
      </c>
      <c r="U41" s="12"/>
      <c r="V41" s="12" t="s">
        <v>243</v>
      </c>
      <c r="W41" s="12"/>
      <c r="X41" s="10"/>
    </row>
    <row r="42" spans="2:24" ht="87" customHeight="1" thickBot="1" x14ac:dyDescent="0.3">
      <c r="B42" s="10"/>
      <c r="C42" s="11"/>
      <c r="D42" s="15"/>
      <c r="E42" s="12"/>
      <c r="F42" s="12"/>
      <c r="G42" s="12"/>
      <c r="H42" s="12"/>
      <c r="I42" s="12" t="s">
        <v>27</v>
      </c>
      <c r="J42" s="12" t="s">
        <v>244</v>
      </c>
      <c r="K42" s="51"/>
      <c r="L42" s="12"/>
      <c r="M42" s="16" t="s">
        <v>245</v>
      </c>
      <c r="N42" s="12"/>
      <c r="O42" s="12"/>
      <c r="P42" s="12"/>
      <c r="Q42" s="12"/>
      <c r="R42" s="12" t="s">
        <v>127</v>
      </c>
      <c r="S42" s="12" t="s">
        <v>246</v>
      </c>
      <c r="T42" s="12"/>
      <c r="U42" s="12"/>
      <c r="V42" s="12"/>
      <c r="W42" s="12"/>
      <c r="X42" s="10"/>
    </row>
    <row r="43" spans="2:24" ht="81.95" customHeight="1" thickBot="1" x14ac:dyDescent="0.3">
      <c r="B43" s="10"/>
      <c r="C43" s="11"/>
      <c r="D43" s="20" t="s">
        <v>247</v>
      </c>
      <c r="E43" s="16"/>
      <c r="F43" s="16"/>
      <c r="G43" s="16"/>
      <c r="H43" s="16"/>
      <c r="I43" s="16" t="s">
        <v>33</v>
      </c>
      <c r="J43" s="16" t="s">
        <v>248</v>
      </c>
      <c r="K43" s="16" t="s">
        <v>249</v>
      </c>
      <c r="L43" s="16" t="s">
        <v>250</v>
      </c>
      <c r="M43" s="16" t="s">
        <v>245</v>
      </c>
      <c r="N43" s="16"/>
      <c r="O43" s="16"/>
      <c r="P43" s="53" t="s">
        <v>251</v>
      </c>
      <c r="Q43" s="53" t="s">
        <v>252</v>
      </c>
      <c r="R43" s="12" t="s">
        <v>127</v>
      </c>
      <c r="S43" s="12" t="s">
        <v>246</v>
      </c>
      <c r="T43" s="53" t="s">
        <v>253</v>
      </c>
      <c r="U43" s="53" t="s">
        <v>254</v>
      </c>
      <c r="V43" s="12"/>
      <c r="W43" s="12"/>
      <c r="X43" s="16"/>
    </row>
    <row r="44" spans="2:24" ht="81.95" customHeight="1" thickBot="1" x14ac:dyDescent="0.3">
      <c r="B44" s="10"/>
      <c r="C44" s="11"/>
      <c r="D44" s="20" t="s">
        <v>255</v>
      </c>
      <c r="E44" s="16"/>
      <c r="F44" s="16"/>
      <c r="G44" s="16"/>
      <c r="H44" s="16"/>
      <c r="I44" s="53" t="s">
        <v>68</v>
      </c>
      <c r="J44" s="16" t="s">
        <v>256</v>
      </c>
      <c r="K44" s="16" t="s">
        <v>257</v>
      </c>
      <c r="L44" s="16" t="s">
        <v>258</v>
      </c>
      <c r="M44" s="16" t="s">
        <v>259</v>
      </c>
      <c r="N44" s="16"/>
      <c r="O44" s="16"/>
      <c r="P44" s="16"/>
      <c r="Q44" s="16"/>
      <c r="R44" s="12" t="s">
        <v>127</v>
      </c>
      <c r="S44" s="12" t="s">
        <v>246</v>
      </c>
      <c r="T44" s="53" t="s">
        <v>253</v>
      </c>
      <c r="U44" s="53"/>
      <c r="V44" s="12"/>
      <c r="W44" s="12"/>
      <c r="X44" s="16"/>
    </row>
    <row r="45" spans="2:24" ht="81.95" customHeight="1" thickBot="1" x14ac:dyDescent="0.3">
      <c r="B45" s="10"/>
      <c r="C45" s="11"/>
      <c r="D45" s="20" t="s">
        <v>260</v>
      </c>
      <c r="E45" s="16"/>
      <c r="F45" s="16"/>
      <c r="G45" s="16"/>
      <c r="H45" s="16"/>
      <c r="I45" s="53" t="s">
        <v>33</v>
      </c>
      <c r="J45" s="53" t="s">
        <v>261</v>
      </c>
      <c r="K45" s="16"/>
      <c r="L45" s="53" t="s">
        <v>262</v>
      </c>
      <c r="M45" s="16"/>
      <c r="N45" s="53" t="s">
        <v>263</v>
      </c>
      <c r="O45" s="16"/>
      <c r="P45" s="16"/>
      <c r="Q45" s="16"/>
      <c r="R45" s="53" t="s">
        <v>127</v>
      </c>
      <c r="S45" s="53" t="s">
        <v>264</v>
      </c>
      <c r="T45" s="53"/>
      <c r="U45" s="53" t="s">
        <v>265</v>
      </c>
      <c r="V45" s="12"/>
      <c r="W45" s="12"/>
      <c r="X45" s="16"/>
    </row>
    <row r="46" spans="2:24" ht="394.5" thickBot="1" x14ac:dyDescent="0.3">
      <c r="B46" s="10"/>
      <c r="C46" s="11"/>
      <c r="D46" s="20" t="s">
        <v>266</v>
      </c>
      <c r="E46" s="16"/>
      <c r="F46" s="16"/>
      <c r="G46" s="16"/>
      <c r="H46" s="16"/>
      <c r="I46" s="53" t="s">
        <v>33</v>
      </c>
      <c r="J46" s="53" t="s">
        <v>267</v>
      </c>
      <c r="K46" s="16"/>
      <c r="L46" s="53" t="s">
        <v>268</v>
      </c>
      <c r="M46" s="16"/>
      <c r="N46" s="53" t="s">
        <v>269</v>
      </c>
      <c r="O46" s="16"/>
      <c r="P46" s="16"/>
      <c r="Q46" s="16"/>
      <c r="R46" s="53" t="s">
        <v>206</v>
      </c>
      <c r="S46" s="53" t="s">
        <v>270</v>
      </c>
      <c r="T46" s="53"/>
      <c r="U46" s="53" t="s">
        <v>265</v>
      </c>
      <c r="V46" s="12"/>
      <c r="W46" s="12"/>
      <c r="X46" s="16"/>
    </row>
    <row r="47" spans="2:24" ht="268.5" thickBot="1" x14ac:dyDescent="0.3">
      <c r="B47" s="10"/>
      <c r="C47" s="11"/>
      <c r="D47" s="20" t="s">
        <v>271</v>
      </c>
      <c r="E47" s="16"/>
      <c r="F47" s="16"/>
      <c r="G47" s="16"/>
      <c r="H47" s="16"/>
      <c r="I47" s="16" t="s">
        <v>33</v>
      </c>
      <c r="J47" s="16" t="s">
        <v>272</v>
      </c>
      <c r="K47" s="16" t="s">
        <v>249</v>
      </c>
      <c r="L47" s="16" t="s">
        <v>250</v>
      </c>
      <c r="M47" s="16" t="s">
        <v>245</v>
      </c>
      <c r="N47" s="16"/>
      <c r="O47" s="16"/>
      <c r="P47" s="16"/>
      <c r="Q47" s="16"/>
      <c r="R47" s="53" t="s">
        <v>127</v>
      </c>
      <c r="S47" s="53" t="s">
        <v>273</v>
      </c>
      <c r="T47" s="53" t="s">
        <v>274</v>
      </c>
      <c r="U47" s="53"/>
      <c r="V47" s="12"/>
      <c r="W47" s="12"/>
      <c r="X47" s="16"/>
    </row>
    <row r="48" spans="2:24" ht="268.5" thickBot="1" x14ac:dyDescent="0.3">
      <c r="B48" s="10"/>
      <c r="C48" s="11"/>
      <c r="D48" s="20" t="s">
        <v>275</v>
      </c>
      <c r="E48" s="16"/>
      <c r="F48" s="16"/>
      <c r="G48" s="16"/>
      <c r="H48" s="16"/>
      <c r="I48" s="16" t="s">
        <v>68</v>
      </c>
      <c r="J48" s="16" t="s">
        <v>276</v>
      </c>
      <c r="K48" s="16" t="s">
        <v>277</v>
      </c>
      <c r="L48" s="16" t="s">
        <v>258</v>
      </c>
      <c r="M48" s="16" t="s">
        <v>278</v>
      </c>
      <c r="N48" s="16"/>
      <c r="O48" s="16"/>
      <c r="P48" s="53" t="s">
        <v>279</v>
      </c>
      <c r="Q48" s="53" t="s">
        <v>280</v>
      </c>
      <c r="R48" s="53" t="s">
        <v>127</v>
      </c>
      <c r="S48" s="53" t="s">
        <v>273</v>
      </c>
      <c r="T48" s="53" t="s">
        <v>274</v>
      </c>
      <c r="U48" s="53"/>
      <c r="V48" s="12"/>
      <c r="W48" s="12"/>
      <c r="X48" s="16"/>
    </row>
    <row r="49" spans="2:29" ht="81.95" customHeight="1" thickBot="1" x14ac:dyDescent="0.3">
      <c r="B49" s="10"/>
      <c r="C49" s="11"/>
      <c r="D49" s="20" t="s">
        <v>281</v>
      </c>
      <c r="E49" s="12"/>
      <c r="F49" s="12"/>
      <c r="G49" s="12"/>
      <c r="H49" s="12"/>
      <c r="I49" s="12" t="s">
        <v>33</v>
      </c>
      <c r="J49" s="53" t="s">
        <v>282</v>
      </c>
      <c r="K49" s="53" t="s">
        <v>283</v>
      </c>
      <c r="L49" s="53" t="s">
        <v>284</v>
      </c>
      <c r="M49" s="12"/>
      <c r="N49" s="16" t="s">
        <v>245</v>
      </c>
      <c r="O49" s="12"/>
      <c r="P49" s="54"/>
      <c r="Q49" s="54"/>
      <c r="R49" s="53" t="s">
        <v>127</v>
      </c>
      <c r="S49" s="53" t="s">
        <v>270</v>
      </c>
      <c r="T49" s="53"/>
      <c r="U49" s="53" t="s">
        <v>285</v>
      </c>
      <c r="V49" s="12"/>
      <c r="W49" s="12"/>
      <c r="X49" s="16"/>
    </row>
    <row r="50" spans="2:29" ht="81.95" customHeight="1" thickBot="1" x14ac:dyDescent="0.3">
      <c r="B50" s="10"/>
      <c r="C50" s="11"/>
      <c r="D50" s="20" t="s">
        <v>286</v>
      </c>
      <c r="E50" s="12"/>
      <c r="F50" s="12"/>
      <c r="G50" s="12"/>
      <c r="H50" s="12"/>
      <c r="I50" s="12" t="s">
        <v>33</v>
      </c>
      <c r="J50" s="53" t="s">
        <v>287</v>
      </c>
      <c r="K50" s="53"/>
      <c r="L50" s="53" t="s">
        <v>288</v>
      </c>
      <c r="M50" s="12"/>
      <c r="N50" s="16" t="s">
        <v>245</v>
      </c>
      <c r="O50" s="12"/>
      <c r="P50" s="54"/>
      <c r="Q50" s="54"/>
      <c r="R50" s="53" t="s">
        <v>127</v>
      </c>
      <c r="S50" s="53" t="s">
        <v>270</v>
      </c>
      <c r="T50" s="53"/>
      <c r="U50" s="53" t="s">
        <v>289</v>
      </c>
      <c r="V50" s="12"/>
      <c r="W50" s="12"/>
      <c r="X50" s="16"/>
    </row>
    <row r="51" spans="2:29" ht="81.95" customHeight="1" thickBot="1" x14ac:dyDescent="0.3">
      <c r="B51" s="10"/>
      <c r="C51" s="11"/>
      <c r="D51" s="20" t="s">
        <v>290</v>
      </c>
      <c r="E51" s="12"/>
      <c r="F51" s="12"/>
      <c r="G51" s="12"/>
      <c r="H51" s="12"/>
      <c r="I51" s="12" t="s">
        <v>33</v>
      </c>
      <c r="J51" s="53" t="s">
        <v>291</v>
      </c>
      <c r="K51" s="53"/>
      <c r="L51" s="53" t="s">
        <v>292</v>
      </c>
      <c r="M51" s="12"/>
      <c r="N51" s="16" t="s">
        <v>245</v>
      </c>
      <c r="O51" s="12"/>
      <c r="P51" s="54"/>
      <c r="Q51" s="54"/>
      <c r="R51" s="53" t="s">
        <v>127</v>
      </c>
      <c r="S51" s="53" t="s">
        <v>270</v>
      </c>
      <c r="T51" s="53"/>
      <c r="U51" s="53" t="s">
        <v>293</v>
      </c>
      <c r="V51" s="12"/>
      <c r="W51" s="12"/>
      <c r="X51" s="16"/>
    </row>
    <row r="52" spans="2:29" ht="81.95" customHeight="1" thickBot="1" x14ac:dyDescent="0.3">
      <c r="B52" s="10"/>
      <c r="C52" s="11"/>
      <c r="D52" s="20" t="s">
        <v>294</v>
      </c>
      <c r="E52" s="12"/>
      <c r="F52" s="12"/>
      <c r="G52" s="12"/>
      <c r="H52" s="12"/>
      <c r="I52" s="12" t="s">
        <v>33</v>
      </c>
      <c r="J52" s="53" t="s">
        <v>295</v>
      </c>
      <c r="K52" s="53" t="s">
        <v>296</v>
      </c>
      <c r="L52" s="53" t="s">
        <v>297</v>
      </c>
      <c r="M52" s="12"/>
      <c r="N52" s="16" t="s">
        <v>245</v>
      </c>
      <c r="O52" s="12"/>
      <c r="P52" s="54"/>
      <c r="Q52" s="54"/>
      <c r="R52" s="53" t="s">
        <v>127</v>
      </c>
      <c r="S52" s="53" t="s">
        <v>270</v>
      </c>
      <c r="T52" s="53"/>
      <c r="U52" s="53" t="s">
        <v>293</v>
      </c>
      <c r="V52" s="12"/>
      <c r="W52" s="12"/>
      <c r="X52" s="16"/>
    </row>
    <row r="53" spans="2:29" ht="51.75" thickBot="1" x14ac:dyDescent="0.3">
      <c r="B53" s="10"/>
      <c r="C53" s="11" t="s">
        <v>298</v>
      </c>
      <c r="D53" s="15" t="s">
        <v>299</v>
      </c>
      <c r="E53" s="12">
        <v>1</v>
      </c>
      <c r="F53" s="12">
        <v>1</v>
      </c>
      <c r="G53" s="12">
        <v>1</v>
      </c>
      <c r="H53" s="12"/>
      <c r="I53" s="12" t="s">
        <v>33</v>
      </c>
      <c r="J53" s="12" t="s">
        <v>300</v>
      </c>
      <c r="K53" s="12"/>
      <c r="L53" s="12" t="s">
        <v>35</v>
      </c>
      <c r="M53" s="12" t="s">
        <v>301</v>
      </c>
      <c r="N53" s="12"/>
      <c r="O53" s="12"/>
      <c r="P53" s="12" t="e">
        <f>VLOOKUP(D53,[1]Validation!A:V,18,FALSE)</f>
        <v>#N/A</v>
      </c>
      <c r="Q53" s="12" t="e">
        <f>VLOOKUP(D53,[1]Validation!A:W,19,FALSE)</f>
        <v>#N/A</v>
      </c>
      <c r="R53" s="12" t="s">
        <v>127</v>
      </c>
      <c r="S53" s="12" t="s">
        <v>30</v>
      </c>
      <c r="T53" s="12" t="s">
        <v>302</v>
      </c>
      <c r="U53" s="12"/>
      <c r="V53" s="12" t="s">
        <v>93</v>
      </c>
      <c r="W53" s="12"/>
      <c r="X53" s="10"/>
    </row>
    <row r="54" spans="2:29" ht="55.5" customHeight="1" thickBot="1" x14ac:dyDescent="0.3">
      <c r="B54" s="10"/>
      <c r="C54" s="11" t="s">
        <v>303</v>
      </c>
      <c r="D54" s="15" t="s">
        <v>304</v>
      </c>
      <c r="E54" s="12">
        <v>1</v>
      </c>
      <c r="F54" s="12">
        <v>1</v>
      </c>
      <c r="G54" s="12">
        <v>1</v>
      </c>
      <c r="H54" s="12"/>
      <c r="I54" s="12" t="s">
        <v>68</v>
      </c>
      <c r="J54" s="12" t="s">
        <v>305</v>
      </c>
      <c r="K54" s="12"/>
      <c r="L54" s="12" t="s">
        <v>306</v>
      </c>
      <c r="M54" s="12" t="s">
        <v>307</v>
      </c>
      <c r="N54" s="12"/>
      <c r="O54" s="12"/>
      <c r="P54" s="49" t="str">
        <f>VLOOKUP(D54,[1]Validation!A:V,18,FALSE)</f>
        <v>Condition 1.
Number should (be &gt; 0 &amp; =&lt;5) or (BE=99)</v>
      </c>
      <c r="Q54" s="12" t="str">
        <f>VLOOKUP(D54,[1]Validation!A:W,19,FALSE)</f>
        <v>Condition 1.
NUMBER OF BIRTHS SEEMS TOO LOW/HIGH. PLEASE CHECK.</v>
      </c>
      <c r="R54" s="12" t="s">
        <v>127</v>
      </c>
      <c r="S54" s="12" t="s">
        <v>30</v>
      </c>
      <c r="T54" s="12" t="s">
        <v>302</v>
      </c>
      <c r="U54" s="12"/>
      <c r="V54" s="12" t="s">
        <v>93</v>
      </c>
      <c r="W54" s="12"/>
      <c r="X54" s="10"/>
    </row>
    <row r="55" spans="2:29" ht="64.5" thickBot="1" x14ac:dyDescent="0.3">
      <c r="B55" s="10"/>
      <c r="C55" s="11" t="s">
        <v>308</v>
      </c>
      <c r="D55" s="15" t="s">
        <v>309</v>
      </c>
      <c r="E55" s="12">
        <v>1</v>
      </c>
      <c r="F55" s="12">
        <v>1</v>
      </c>
      <c r="G55" s="12">
        <v>1</v>
      </c>
      <c r="H55" s="12"/>
      <c r="I55" s="12" t="s">
        <v>33</v>
      </c>
      <c r="J55" s="12" t="s">
        <v>310</v>
      </c>
      <c r="K55" s="12"/>
      <c r="L55" s="12" t="s">
        <v>311</v>
      </c>
      <c r="M55" s="12" t="s">
        <v>307</v>
      </c>
      <c r="N55" s="12"/>
      <c r="O55" s="12"/>
      <c r="P55" s="12" t="e">
        <f>VLOOKUP(D55,[1]Validation!A:V,18,FALSE)</f>
        <v>#N/A</v>
      </c>
      <c r="Q55" s="12" t="e">
        <f>VLOOKUP(D55,[1]Validation!A:W,19,FALSE)</f>
        <v>#N/A</v>
      </c>
      <c r="R55" s="12" t="s">
        <v>127</v>
      </c>
      <c r="S55" s="12" t="s">
        <v>30</v>
      </c>
      <c r="T55" s="12" t="s">
        <v>302</v>
      </c>
      <c r="U55" s="12"/>
      <c r="V55" s="12" t="s">
        <v>93</v>
      </c>
      <c r="W55" s="12" t="s">
        <v>312</v>
      </c>
      <c r="X55" s="10"/>
      <c r="AC55" s="19"/>
    </row>
    <row r="56" spans="2:29" ht="16.5" thickBot="1" x14ac:dyDescent="0.3">
      <c r="B56" s="33" t="s">
        <v>313</v>
      </c>
      <c r="C56" s="34"/>
      <c r="D56" s="34"/>
      <c r="E56" s="34"/>
      <c r="F56" s="34"/>
      <c r="G56" s="34"/>
      <c r="H56" s="34"/>
      <c r="I56" s="34"/>
      <c r="J56" s="34"/>
      <c r="K56" s="34"/>
      <c r="L56" s="34"/>
      <c r="M56" s="34"/>
      <c r="N56" s="34"/>
      <c r="O56" s="34"/>
      <c r="P56" s="34"/>
      <c r="Q56" s="34"/>
      <c r="R56" s="34"/>
      <c r="S56" s="34"/>
      <c r="T56" s="34"/>
      <c r="U56" s="34"/>
      <c r="V56" s="34"/>
      <c r="W56" s="34"/>
      <c r="X56" s="34"/>
    </row>
    <row r="57" spans="2:29" ht="70.5" customHeight="1" thickBot="1" x14ac:dyDescent="0.3">
      <c r="B57" s="10"/>
      <c r="C57" s="11"/>
      <c r="D57" s="15"/>
      <c r="E57" s="12">
        <v>1</v>
      </c>
      <c r="F57" s="12">
        <v>1</v>
      </c>
      <c r="G57" s="12">
        <v>1</v>
      </c>
      <c r="H57" s="12"/>
      <c r="I57" s="12" t="s">
        <v>314</v>
      </c>
      <c r="J57" s="13" t="s">
        <v>315</v>
      </c>
      <c r="K57" s="55"/>
      <c r="L57" s="12"/>
      <c r="M57" s="12"/>
      <c r="N57" s="12"/>
      <c r="O57" s="12"/>
      <c r="P57" s="12" t="e">
        <f>VLOOKUP(D57,[1]Validation!A:V,18,FALSE)</f>
        <v>#N/A</v>
      </c>
      <c r="Q57" s="12" t="e">
        <f>VLOOKUP(D57,[1]Validation!A:W,19,FALSE)</f>
        <v>#N/A</v>
      </c>
      <c r="R57" s="12" t="s">
        <v>127</v>
      </c>
      <c r="S57" s="12" t="s">
        <v>30</v>
      </c>
      <c r="T57" s="12"/>
      <c r="U57" s="12"/>
      <c r="V57" s="12"/>
      <c r="W57" s="12" t="s">
        <v>316</v>
      </c>
      <c r="X57" s="12"/>
    </row>
    <row r="58" spans="2:29" ht="51.75" thickBot="1" x14ac:dyDescent="0.3">
      <c r="B58" s="10"/>
      <c r="C58" s="11" t="s">
        <v>317</v>
      </c>
      <c r="D58" s="15" t="s">
        <v>318</v>
      </c>
      <c r="E58" s="12">
        <v>2</v>
      </c>
      <c r="F58" s="12">
        <v>1</v>
      </c>
      <c r="G58" s="12">
        <v>1</v>
      </c>
      <c r="H58" s="12"/>
      <c r="I58" s="12" t="s">
        <v>33</v>
      </c>
      <c r="J58" s="12" t="s">
        <v>319</v>
      </c>
      <c r="K58" s="55"/>
      <c r="L58" s="12" t="s">
        <v>320</v>
      </c>
      <c r="M58" s="12" t="s">
        <v>321</v>
      </c>
      <c r="N58" s="12"/>
      <c r="O58" s="12"/>
      <c r="P58" s="12" t="e">
        <f>VLOOKUP(D58,[1]Validation!A:V,18,FALSE)</f>
        <v>#N/A</v>
      </c>
      <c r="Q58" s="12" t="e">
        <f>VLOOKUP(D58,[1]Validation!A:W,19,FALSE)</f>
        <v>#N/A</v>
      </c>
      <c r="R58" s="12" t="s">
        <v>127</v>
      </c>
      <c r="S58" s="12" t="s">
        <v>30</v>
      </c>
      <c r="T58" s="12" t="s">
        <v>322</v>
      </c>
      <c r="U58" s="12"/>
      <c r="V58" s="12" t="s">
        <v>323</v>
      </c>
      <c r="W58" s="56"/>
      <c r="X58" s="56"/>
    </row>
    <row r="59" spans="2:29" ht="102.75" thickBot="1" x14ac:dyDescent="0.3">
      <c r="B59" s="10"/>
      <c r="C59" s="11" t="s">
        <v>324</v>
      </c>
      <c r="D59" s="15" t="s">
        <v>325</v>
      </c>
      <c r="E59" s="12">
        <v>2</v>
      </c>
      <c r="F59" s="12">
        <v>1</v>
      </c>
      <c r="G59" s="12">
        <v>1</v>
      </c>
      <c r="H59" s="12"/>
      <c r="I59" s="12" t="s">
        <v>33</v>
      </c>
      <c r="J59" s="12" t="s">
        <v>326</v>
      </c>
      <c r="K59" s="55"/>
      <c r="L59" s="12" t="s">
        <v>327</v>
      </c>
      <c r="M59" s="12" t="s">
        <v>328</v>
      </c>
      <c r="N59" s="12"/>
      <c r="O59" s="12"/>
      <c r="P59" s="12" t="e">
        <f>VLOOKUP(D59,[1]Validation!A:V,18,FALSE)</f>
        <v>#N/A</v>
      </c>
      <c r="Q59" s="12" t="e">
        <f>VLOOKUP(D59,[1]Validation!A:W,19,FALSE)</f>
        <v>#N/A</v>
      </c>
      <c r="R59" s="12" t="s">
        <v>173</v>
      </c>
      <c r="S59" s="12"/>
      <c r="T59" s="12"/>
      <c r="U59" s="12"/>
      <c r="V59" s="12" t="s">
        <v>329</v>
      </c>
      <c r="W59" s="56" t="s">
        <v>330</v>
      </c>
      <c r="X59" s="56"/>
    </row>
    <row r="60" spans="2:29" ht="166.5" thickBot="1" x14ac:dyDescent="0.3">
      <c r="B60" s="10"/>
      <c r="C60" s="11" t="s">
        <v>331</v>
      </c>
      <c r="D60" s="15" t="s">
        <v>332</v>
      </c>
      <c r="E60" s="12">
        <v>1</v>
      </c>
      <c r="F60" s="12">
        <v>1</v>
      </c>
      <c r="G60" s="12">
        <v>1</v>
      </c>
      <c r="H60" s="12"/>
      <c r="I60" s="12" t="s">
        <v>33</v>
      </c>
      <c r="J60" s="12" t="s">
        <v>333</v>
      </c>
      <c r="K60" s="55"/>
      <c r="L60" s="12" t="s">
        <v>320</v>
      </c>
      <c r="M60" s="12" t="s">
        <v>334</v>
      </c>
      <c r="N60" s="12"/>
      <c r="O60" s="12"/>
      <c r="P60" s="12" t="e">
        <f>VLOOKUP(D60,[1]Validation!A:V,18,FALSE)</f>
        <v>#N/A</v>
      </c>
      <c r="Q60" s="12" t="e">
        <f>VLOOKUP(D60,[1]Validation!A:W,19,FALSE)</f>
        <v>#N/A</v>
      </c>
      <c r="R60" s="12" t="s">
        <v>127</v>
      </c>
      <c r="S60" s="12" t="s">
        <v>30</v>
      </c>
      <c r="T60" s="12" t="s">
        <v>335</v>
      </c>
      <c r="U60" s="12" t="s">
        <v>336</v>
      </c>
      <c r="V60" s="12" t="s">
        <v>337</v>
      </c>
      <c r="W60" s="56"/>
      <c r="X60" s="56"/>
    </row>
    <row r="61" spans="2:29" ht="64.5" thickBot="1" x14ac:dyDescent="0.3">
      <c r="B61" s="10"/>
      <c r="C61" s="11" t="s">
        <v>338</v>
      </c>
      <c r="D61" s="15" t="s">
        <v>339</v>
      </c>
      <c r="E61" s="12">
        <v>1</v>
      </c>
      <c r="F61" s="12">
        <v>1</v>
      </c>
      <c r="G61" s="12">
        <v>1</v>
      </c>
      <c r="H61" s="12"/>
      <c r="I61" s="12" t="s">
        <v>33</v>
      </c>
      <c r="J61" s="12" t="s">
        <v>340</v>
      </c>
      <c r="K61" s="55"/>
      <c r="L61" s="12" t="s">
        <v>341</v>
      </c>
      <c r="M61" s="12" t="s">
        <v>342</v>
      </c>
      <c r="N61" s="12"/>
      <c r="O61" s="12"/>
      <c r="P61" s="12" t="e">
        <f>VLOOKUP(D61,[1]Validation!A:V,18,FALSE)</f>
        <v>#N/A</v>
      </c>
      <c r="Q61" s="12" t="e">
        <f>VLOOKUP(D61,[1]Validation!A:W,19,FALSE)</f>
        <v>#N/A</v>
      </c>
      <c r="R61" s="12" t="s">
        <v>173</v>
      </c>
      <c r="S61" s="12"/>
      <c r="T61" s="12"/>
      <c r="U61" s="12"/>
      <c r="V61" s="12" t="s">
        <v>93</v>
      </c>
      <c r="W61" s="56"/>
      <c r="X61" s="56"/>
    </row>
    <row r="62" spans="2:29" ht="90" thickBot="1" x14ac:dyDescent="0.3">
      <c r="B62" s="10"/>
      <c r="C62" s="11" t="s">
        <v>343</v>
      </c>
      <c r="D62" s="15" t="s">
        <v>344</v>
      </c>
      <c r="E62" s="12">
        <v>1</v>
      </c>
      <c r="F62" s="12">
        <v>1</v>
      </c>
      <c r="G62" s="12">
        <v>1</v>
      </c>
      <c r="H62" s="12"/>
      <c r="I62" s="12" t="s">
        <v>33</v>
      </c>
      <c r="J62" s="12" t="s">
        <v>345</v>
      </c>
      <c r="K62" s="55"/>
      <c r="L62" s="12" t="s">
        <v>346</v>
      </c>
      <c r="M62" s="12" t="s">
        <v>342</v>
      </c>
      <c r="N62" s="12"/>
      <c r="O62" s="12"/>
      <c r="P62" s="12" t="e">
        <f>VLOOKUP(D62,[1]Validation!A:V,18,FALSE)</f>
        <v>#N/A</v>
      </c>
      <c r="Q62" s="12" t="e">
        <f>VLOOKUP(D62,[1]Validation!A:W,19,FALSE)</f>
        <v>#N/A</v>
      </c>
      <c r="R62" s="12" t="s">
        <v>180</v>
      </c>
      <c r="S62" s="12"/>
      <c r="T62" s="12"/>
      <c r="U62" s="12"/>
      <c r="V62" s="12" t="s">
        <v>93</v>
      </c>
      <c r="W62" s="56"/>
      <c r="X62" s="56"/>
    </row>
    <row r="63" spans="2:29" ht="51.75" thickBot="1" x14ac:dyDescent="0.3">
      <c r="B63" s="10"/>
      <c r="C63" s="11" t="s">
        <v>347</v>
      </c>
      <c r="D63" s="15" t="s">
        <v>348</v>
      </c>
      <c r="E63" s="12">
        <v>1</v>
      </c>
      <c r="F63" s="12">
        <v>1</v>
      </c>
      <c r="G63" s="12">
        <v>1</v>
      </c>
      <c r="H63" s="12"/>
      <c r="I63" s="12" t="s">
        <v>33</v>
      </c>
      <c r="J63" s="12" t="s">
        <v>349</v>
      </c>
      <c r="K63" s="12"/>
      <c r="L63" s="12" t="s">
        <v>350</v>
      </c>
      <c r="M63" s="12" t="s">
        <v>342</v>
      </c>
      <c r="N63" s="12"/>
      <c r="O63" s="12"/>
      <c r="P63" s="12" t="e">
        <f>VLOOKUP(D63,[1]Validation!A:V,18,FALSE)</f>
        <v>#N/A</v>
      </c>
      <c r="Q63" s="12" t="e">
        <f>VLOOKUP(D63,[1]Validation!A:W,19,FALSE)</f>
        <v>#N/A</v>
      </c>
      <c r="R63" s="12" t="s">
        <v>127</v>
      </c>
      <c r="S63" s="12" t="s">
        <v>30</v>
      </c>
      <c r="T63" s="12" t="s">
        <v>351</v>
      </c>
      <c r="U63" s="12"/>
      <c r="V63" s="12" t="s">
        <v>337</v>
      </c>
      <c r="W63" s="56"/>
      <c r="X63" s="12" t="s">
        <v>352</v>
      </c>
    </row>
    <row r="64" spans="2:29" ht="102.75" thickBot="1" x14ac:dyDescent="0.3">
      <c r="B64" s="10"/>
      <c r="C64" s="11" t="s">
        <v>353</v>
      </c>
      <c r="D64" s="15" t="s">
        <v>354</v>
      </c>
      <c r="E64" s="12">
        <v>1</v>
      </c>
      <c r="F64" s="12">
        <v>1</v>
      </c>
      <c r="G64" s="12">
        <v>1</v>
      </c>
      <c r="H64" s="12"/>
      <c r="I64" s="12" t="s">
        <v>33</v>
      </c>
      <c r="J64" s="16" t="s">
        <v>355</v>
      </c>
      <c r="K64" s="16" t="s">
        <v>356</v>
      </c>
      <c r="L64" s="12" t="s">
        <v>327</v>
      </c>
      <c r="M64" s="12" t="s">
        <v>342</v>
      </c>
      <c r="N64" s="12"/>
      <c r="O64" s="12"/>
      <c r="P64" s="12" t="e">
        <f>VLOOKUP(D64,[1]Validation!A:V,18,FALSE)</f>
        <v>#N/A</v>
      </c>
      <c r="Q64" s="12" t="e">
        <f>VLOOKUP(D64,[1]Validation!A:W,19,FALSE)</f>
        <v>#N/A</v>
      </c>
      <c r="R64" s="12" t="s">
        <v>127</v>
      </c>
      <c r="S64" s="12" t="s">
        <v>30</v>
      </c>
      <c r="T64" s="12" t="s">
        <v>357</v>
      </c>
      <c r="U64" s="12"/>
      <c r="V64" s="12" t="s">
        <v>329</v>
      </c>
      <c r="W64" s="56" t="s">
        <v>330</v>
      </c>
      <c r="X64" s="56"/>
    </row>
    <row r="65" spans="2:24" ht="51.75" thickBot="1" x14ac:dyDescent="0.3">
      <c r="B65" s="10"/>
      <c r="C65" s="11" t="s">
        <v>358</v>
      </c>
      <c r="D65" s="15" t="s">
        <v>359</v>
      </c>
      <c r="E65" s="12">
        <v>1</v>
      </c>
      <c r="F65" s="12">
        <v>1</v>
      </c>
      <c r="G65" s="12">
        <v>1</v>
      </c>
      <c r="H65" s="12"/>
      <c r="I65" s="12" t="s">
        <v>33</v>
      </c>
      <c r="J65" s="16" t="s">
        <v>360</v>
      </c>
      <c r="K65" s="12"/>
      <c r="L65" s="12" t="s">
        <v>320</v>
      </c>
      <c r="M65" s="12" t="s">
        <v>361</v>
      </c>
      <c r="N65" s="12"/>
      <c r="O65" s="12"/>
      <c r="P65" s="12" t="e">
        <f>VLOOKUP(D65,[1]Validation!A:V,18,FALSE)</f>
        <v>#N/A</v>
      </c>
      <c r="Q65" s="12" t="e">
        <f>VLOOKUP(D65,[1]Validation!A:W,19,FALSE)</f>
        <v>#N/A</v>
      </c>
      <c r="R65" s="12" t="s">
        <v>127</v>
      </c>
      <c r="S65" s="12" t="s">
        <v>30</v>
      </c>
      <c r="T65" s="12" t="s">
        <v>357</v>
      </c>
      <c r="U65" s="12"/>
      <c r="V65" s="12" t="s">
        <v>93</v>
      </c>
      <c r="W65" s="56"/>
      <c r="X65" s="56"/>
    </row>
    <row r="66" spans="2:24" ht="77.25" thickBot="1" x14ac:dyDescent="0.3">
      <c r="B66" s="10"/>
      <c r="C66" s="11" t="s">
        <v>362</v>
      </c>
      <c r="D66" s="52" t="s">
        <v>363</v>
      </c>
      <c r="E66" s="12">
        <v>3</v>
      </c>
      <c r="F66" s="12">
        <v>1</v>
      </c>
      <c r="G66" s="12"/>
      <c r="H66" s="12"/>
      <c r="I66" s="12" t="s">
        <v>184</v>
      </c>
      <c r="J66" s="12" t="s">
        <v>364</v>
      </c>
      <c r="K66" s="12" t="s">
        <v>365</v>
      </c>
      <c r="L66" s="12" t="s">
        <v>366</v>
      </c>
      <c r="M66" s="12"/>
      <c r="N66" s="12"/>
      <c r="O66" s="12" t="s">
        <v>367</v>
      </c>
      <c r="P66" s="12" t="str">
        <f>VLOOKUP(D66,[1]Validation!A:V,18,FALSE)</f>
        <v xml:space="preserve">Condition 1.
Person who decides should be &gt;= 10 years old </v>
      </c>
      <c r="Q66" s="12" t="str">
        <f>VLOOKUP(D66,[1]Validation!A:W,19,FALSE)</f>
        <v>Condition 1.
PERSON WHO DECIDES SEEMS TOO YOUNG. PLEASE CHECK</v>
      </c>
      <c r="R66" s="12" t="s">
        <v>173</v>
      </c>
      <c r="S66" s="12"/>
      <c r="T66" s="12"/>
      <c r="U66" s="12"/>
      <c r="V66" s="12" t="s">
        <v>93</v>
      </c>
      <c r="W66" s="56"/>
      <c r="X66" s="56"/>
    </row>
    <row r="67" spans="2:24" ht="409.6" thickBot="1" x14ac:dyDescent="0.3">
      <c r="B67" s="10"/>
      <c r="C67" s="11" t="s">
        <v>368</v>
      </c>
      <c r="D67" s="15" t="s">
        <v>369</v>
      </c>
      <c r="E67" s="12">
        <v>2</v>
      </c>
      <c r="F67" s="12">
        <v>1</v>
      </c>
      <c r="G67" s="12">
        <v>1</v>
      </c>
      <c r="H67" s="12"/>
      <c r="I67" s="12" t="s">
        <v>33</v>
      </c>
      <c r="J67" s="12" t="s">
        <v>370</v>
      </c>
      <c r="K67" s="12"/>
      <c r="L67" s="12" t="s">
        <v>371</v>
      </c>
      <c r="M67" s="10"/>
      <c r="N67" s="16"/>
      <c r="O67" s="12" t="s">
        <v>372</v>
      </c>
      <c r="P67" s="12" t="e">
        <f>VLOOKUP(D67,[1]Validation!A:V,18,FALSE)</f>
        <v>#N/A</v>
      </c>
      <c r="Q67" s="12" t="e">
        <f>VLOOKUP(D67,[1]Validation!A:W,19,FALSE)</f>
        <v>#N/A</v>
      </c>
      <c r="R67" s="12" t="s">
        <v>127</v>
      </c>
      <c r="S67" s="12" t="s">
        <v>150</v>
      </c>
      <c r="T67" s="12"/>
      <c r="U67" s="12" t="s">
        <v>373</v>
      </c>
      <c r="V67" s="12" t="s">
        <v>374</v>
      </c>
      <c r="W67" s="56"/>
      <c r="X67" s="56"/>
    </row>
    <row r="68" spans="2:24" ht="87" customHeight="1" thickBot="1" x14ac:dyDescent="0.3">
      <c r="B68" s="10"/>
      <c r="C68" s="11" t="s">
        <v>375</v>
      </c>
      <c r="D68" s="15" t="s">
        <v>376</v>
      </c>
      <c r="E68" s="12">
        <v>1</v>
      </c>
      <c r="F68" s="12">
        <v>1</v>
      </c>
      <c r="G68" s="12">
        <v>1</v>
      </c>
      <c r="H68" s="12"/>
      <c r="I68" s="12" t="s">
        <v>33</v>
      </c>
      <c r="J68" s="12" t="s">
        <v>377</v>
      </c>
      <c r="K68" s="57"/>
      <c r="L68" s="12" t="s">
        <v>378</v>
      </c>
      <c r="M68" s="12" t="s">
        <v>379</v>
      </c>
      <c r="N68" s="12"/>
      <c r="O68" s="12"/>
      <c r="P68" s="12" t="e">
        <f>VLOOKUP(D68,[1]Validation!A:V,18,FALSE)</f>
        <v>#N/A</v>
      </c>
      <c r="Q68" s="12" t="e">
        <f>VLOOKUP(D68,[1]Validation!A:W,19,FALSE)</f>
        <v>#N/A</v>
      </c>
      <c r="R68" s="12" t="s">
        <v>127</v>
      </c>
      <c r="S68" s="12" t="s">
        <v>30</v>
      </c>
      <c r="T68" s="12" t="s">
        <v>380</v>
      </c>
      <c r="U68" s="12" t="s">
        <v>381</v>
      </c>
      <c r="V68" s="12" t="s">
        <v>337</v>
      </c>
      <c r="W68" s="56"/>
      <c r="X68" s="56"/>
    </row>
    <row r="69" spans="2:24" ht="409.5" customHeight="1" thickBot="1" x14ac:dyDescent="0.3">
      <c r="B69" s="10"/>
      <c r="C69" s="11" t="s">
        <v>382</v>
      </c>
      <c r="D69" s="52" t="s">
        <v>383</v>
      </c>
      <c r="E69" s="12">
        <v>2</v>
      </c>
      <c r="F69" s="12">
        <v>1</v>
      </c>
      <c r="G69" s="12">
        <v>1</v>
      </c>
      <c r="H69" s="12"/>
      <c r="I69" s="12" t="s">
        <v>33</v>
      </c>
      <c r="J69" s="12" t="s">
        <v>384</v>
      </c>
      <c r="K69" s="12"/>
      <c r="L69" s="12" t="s">
        <v>385</v>
      </c>
      <c r="M69" s="12"/>
      <c r="N69" s="12"/>
      <c r="O69" s="12" t="s">
        <v>386</v>
      </c>
      <c r="P69" s="12" t="e">
        <f>VLOOKUP(D69,[1]Validation!A:V,18,FALSE)</f>
        <v>#N/A</v>
      </c>
      <c r="Q69" s="12" t="e">
        <f>VLOOKUP(D69,[1]Validation!A:W,19,FALSE)</f>
        <v>#N/A</v>
      </c>
      <c r="R69" s="12" t="s">
        <v>127</v>
      </c>
      <c r="S69" s="12" t="s">
        <v>150</v>
      </c>
      <c r="T69" s="12"/>
      <c r="U69" s="12" t="s">
        <v>387</v>
      </c>
      <c r="V69" s="12" t="s">
        <v>388</v>
      </c>
      <c r="W69" s="56" t="s">
        <v>389</v>
      </c>
      <c r="X69" s="56" t="s">
        <v>389</v>
      </c>
    </row>
    <row r="70" spans="2:24" ht="52.5" customHeight="1" thickBot="1" x14ac:dyDescent="0.3">
      <c r="B70" s="10"/>
      <c r="C70" s="11" t="s">
        <v>390</v>
      </c>
      <c r="D70" s="52" t="s">
        <v>391</v>
      </c>
      <c r="E70" s="12">
        <v>2</v>
      </c>
      <c r="F70" s="12">
        <v>1</v>
      </c>
      <c r="G70" s="12">
        <v>1</v>
      </c>
      <c r="H70" s="12"/>
      <c r="I70" s="12" t="s">
        <v>68</v>
      </c>
      <c r="J70" s="12" t="s">
        <v>392</v>
      </c>
      <c r="K70" s="12"/>
      <c r="L70" s="12" t="s">
        <v>393</v>
      </c>
      <c r="M70" s="58"/>
      <c r="N70" s="59"/>
      <c r="O70" s="12" t="s">
        <v>342</v>
      </c>
      <c r="P70" s="12" t="str">
        <f>VLOOKUP(D70,[1]Validation!A:V,18,FALSE)</f>
        <v>Condition 1.
Age (should be  &gt;=4 &amp; =&lt; 90) OR (be=98)</v>
      </c>
      <c r="Q70" s="12" t="str">
        <f>VLOOKUP(D70,[1]Validation!A:W,19,FALSE)</f>
        <v>Condition 1.
AGE SEEMS TOO LOW/HIGH. PLESE CHECK</v>
      </c>
      <c r="R70" s="12" t="s">
        <v>127</v>
      </c>
      <c r="S70" s="12" t="s">
        <v>150</v>
      </c>
      <c r="T70" s="12"/>
      <c r="U70" s="12" t="s">
        <v>394</v>
      </c>
      <c r="V70" s="12" t="s">
        <v>337</v>
      </c>
      <c r="W70" s="12"/>
      <c r="X70" s="12"/>
    </row>
    <row r="71" spans="2:24" ht="77.25" thickBot="1" x14ac:dyDescent="0.3">
      <c r="B71" s="10"/>
      <c r="C71" s="11" t="s">
        <v>395</v>
      </c>
      <c r="D71" s="52" t="s">
        <v>396</v>
      </c>
      <c r="E71" s="12">
        <v>2</v>
      </c>
      <c r="F71" s="12">
        <v>1</v>
      </c>
      <c r="G71" s="12">
        <v>1</v>
      </c>
      <c r="H71" s="12"/>
      <c r="I71" s="12" t="s">
        <v>33</v>
      </c>
      <c r="J71" s="12" t="s">
        <v>397</v>
      </c>
      <c r="K71" s="12"/>
      <c r="L71" s="12" t="s">
        <v>398</v>
      </c>
      <c r="M71" s="12" t="s">
        <v>399</v>
      </c>
      <c r="N71" s="12"/>
      <c r="P71" s="12" t="e">
        <f>VLOOKUP(D71,[1]Validation!A:V,18,FALSE)</f>
        <v>#N/A</v>
      </c>
      <c r="Q71" s="12" t="e">
        <f>VLOOKUP(D71,[1]Validation!A:W,19,FALSE)</f>
        <v>#N/A</v>
      </c>
      <c r="R71" s="12" t="s">
        <v>127</v>
      </c>
      <c r="S71" s="12" t="s">
        <v>30</v>
      </c>
      <c r="T71" s="12" t="s">
        <v>400</v>
      </c>
      <c r="U71" s="12"/>
      <c r="V71" s="12" t="s">
        <v>329</v>
      </c>
      <c r="W71" s="12"/>
      <c r="X71" s="12"/>
    </row>
    <row r="72" spans="2:24" ht="64.5" thickBot="1" x14ac:dyDescent="0.3">
      <c r="B72" s="10"/>
      <c r="C72" s="11" t="s">
        <v>401</v>
      </c>
      <c r="D72" s="15" t="s">
        <v>402</v>
      </c>
      <c r="E72" s="12">
        <v>2</v>
      </c>
      <c r="F72" s="12">
        <v>1</v>
      </c>
      <c r="G72" s="12">
        <v>1</v>
      </c>
      <c r="H72" s="12"/>
      <c r="I72" s="12" t="s">
        <v>33</v>
      </c>
      <c r="J72" s="12" t="s">
        <v>403</v>
      </c>
      <c r="K72" s="12"/>
      <c r="L72" s="12" t="s">
        <v>404</v>
      </c>
      <c r="M72" s="42"/>
      <c r="N72" s="42"/>
      <c r="O72" s="12" t="s">
        <v>405</v>
      </c>
      <c r="P72" s="12" t="e">
        <f>VLOOKUP(D72,[1]Validation!A:V,18,FALSE)</f>
        <v>#N/A</v>
      </c>
      <c r="Q72" s="12" t="e">
        <f>VLOOKUP(D72,[1]Validation!A:W,19,FALSE)</f>
        <v>#N/A</v>
      </c>
      <c r="R72" s="12" t="s">
        <v>127</v>
      </c>
      <c r="S72" s="12" t="s">
        <v>150</v>
      </c>
      <c r="T72" s="12"/>
      <c r="U72" s="12" t="s">
        <v>406</v>
      </c>
      <c r="V72" s="12" t="s">
        <v>56</v>
      </c>
      <c r="W72" s="12"/>
      <c r="X72" s="12"/>
    </row>
    <row r="73" spans="2:24" ht="51.75" thickBot="1" x14ac:dyDescent="0.3">
      <c r="B73" s="10"/>
      <c r="C73" s="11" t="s">
        <v>407</v>
      </c>
      <c r="D73" s="15" t="s">
        <v>408</v>
      </c>
      <c r="E73" s="12">
        <v>2</v>
      </c>
      <c r="F73" s="12">
        <v>1</v>
      </c>
      <c r="G73" s="12">
        <v>1</v>
      </c>
      <c r="H73" s="12"/>
      <c r="I73" s="12" t="s">
        <v>33</v>
      </c>
      <c r="J73" s="12" t="s">
        <v>409</v>
      </c>
      <c r="K73" s="12"/>
      <c r="L73" s="12" t="s">
        <v>410</v>
      </c>
      <c r="M73" s="16"/>
      <c r="N73" s="10"/>
      <c r="O73" s="12" t="s">
        <v>411</v>
      </c>
      <c r="P73" s="12" t="e">
        <f>VLOOKUP(D73,[1]Validation!A:V,18,FALSE)</f>
        <v>#N/A</v>
      </c>
      <c r="Q73" s="12" t="e">
        <f>VLOOKUP(D73,[1]Validation!A:W,19,FALSE)</f>
        <v>#N/A</v>
      </c>
      <c r="R73" s="12" t="s">
        <v>127</v>
      </c>
      <c r="S73" s="12" t="s">
        <v>150</v>
      </c>
      <c r="T73" s="12"/>
      <c r="U73" s="12" t="s">
        <v>406</v>
      </c>
      <c r="V73" s="12" t="s">
        <v>93</v>
      </c>
      <c r="W73" s="12"/>
      <c r="X73" s="12"/>
    </row>
    <row r="74" spans="2:24" ht="409.6" thickBot="1" x14ac:dyDescent="0.3">
      <c r="B74" s="10"/>
      <c r="C74" s="11" t="s">
        <v>412</v>
      </c>
      <c r="D74" s="15" t="s">
        <v>413</v>
      </c>
      <c r="E74" s="12">
        <v>3</v>
      </c>
      <c r="F74" s="12">
        <v>1</v>
      </c>
      <c r="G74" s="60">
        <v>1</v>
      </c>
      <c r="H74" s="61"/>
      <c r="I74" s="12" t="s">
        <v>33</v>
      </c>
      <c r="J74" s="12" t="s">
        <v>414</v>
      </c>
      <c r="K74" s="12"/>
      <c r="L74" s="12" t="s">
        <v>415</v>
      </c>
      <c r="M74" s="10"/>
      <c r="N74" s="16"/>
      <c r="O74" s="12" t="s">
        <v>416</v>
      </c>
      <c r="P74" s="12" t="e">
        <f>VLOOKUP(D74,[1]Validation!A:V,18,FALSE)</f>
        <v>#N/A</v>
      </c>
      <c r="Q74" s="12" t="e">
        <f>VLOOKUP(D74,[1]Validation!A:W,19,FALSE)</f>
        <v>#N/A</v>
      </c>
      <c r="R74" s="12" t="s">
        <v>127</v>
      </c>
      <c r="S74" s="12" t="s">
        <v>150</v>
      </c>
      <c r="T74" s="12"/>
      <c r="U74" s="12" t="s">
        <v>417</v>
      </c>
      <c r="V74" s="12" t="s">
        <v>418</v>
      </c>
      <c r="W74" s="12"/>
      <c r="X74" s="12"/>
    </row>
    <row r="75" spans="2:24" ht="77.25" thickBot="1" x14ac:dyDescent="0.3">
      <c r="B75" s="10"/>
      <c r="C75" s="11" t="s">
        <v>419</v>
      </c>
      <c r="D75" s="15" t="s">
        <v>420</v>
      </c>
      <c r="E75" s="12">
        <v>1</v>
      </c>
      <c r="F75" s="12">
        <v>1</v>
      </c>
      <c r="G75" s="12">
        <v>1</v>
      </c>
      <c r="H75" s="12"/>
      <c r="I75" s="12" t="s">
        <v>33</v>
      </c>
      <c r="J75" s="12" t="s">
        <v>421</v>
      </c>
      <c r="K75" s="12"/>
      <c r="L75" s="12" t="s">
        <v>422</v>
      </c>
      <c r="M75" s="12" t="s">
        <v>423</v>
      </c>
      <c r="N75" s="12"/>
      <c r="O75" s="12"/>
      <c r="P75" s="12" t="e">
        <f>VLOOKUP(D75,[1]Validation!A:V,18,FALSE)</f>
        <v>#N/A</v>
      </c>
      <c r="Q75" s="12" t="e">
        <f>VLOOKUP(D75,[1]Validation!A:W,19,FALSE)</f>
        <v>#N/A</v>
      </c>
      <c r="R75" s="12" t="s">
        <v>127</v>
      </c>
      <c r="S75" s="12" t="s">
        <v>30</v>
      </c>
      <c r="T75" s="12" t="s">
        <v>380</v>
      </c>
      <c r="U75" s="12" t="s">
        <v>424</v>
      </c>
      <c r="V75" s="12" t="s">
        <v>93</v>
      </c>
      <c r="W75" s="12"/>
      <c r="X75" s="12"/>
    </row>
    <row r="76" spans="2:24" ht="90" thickBot="1" x14ac:dyDescent="0.3">
      <c r="B76" s="10"/>
      <c r="C76" s="11" t="s">
        <v>425</v>
      </c>
      <c r="D76" s="15" t="s">
        <v>426</v>
      </c>
      <c r="E76" s="12">
        <v>1</v>
      </c>
      <c r="F76" s="12">
        <v>1</v>
      </c>
      <c r="G76" s="12">
        <v>1</v>
      </c>
      <c r="H76" s="12"/>
      <c r="I76" s="12" t="s">
        <v>33</v>
      </c>
      <c r="J76" s="12" t="s">
        <v>427</v>
      </c>
      <c r="K76" s="12"/>
      <c r="L76" s="12" t="s">
        <v>428</v>
      </c>
      <c r="M76" s="12" t="s">
        <v>423</v>
      </c>
      <c r="N76" s="12"/>
      <c r="O76" s="12"/>
      <c r="P76" s="12" t="str">
        <f>VLOOKUP(D76,[1]Validation!A:V,18,FALSE)</f>
        <v xml:space="preserve">Condition 1.
A person can't be younger than 15 years old and have a complete or incomplete terciary education </v>
      </c>
      <c r="Q76" s="12" t="str">
        <f>VLOOKUP(D76,[1]Validation!A:W,19,FALSE)</f>
        <v>Condition 1.
A PERSON YOUNGER THAN 15 CAN NOT HAVE COMPLETED A YEAR OR MORE OF TERCIARY EDUCATION. PLEASE CHECK</v>
      </c>
      <c r="R76" s="12" t="s">
        <v>127</v>
      </c>
      <c r="S76" s="12" t="s">
        <v>30</v>
      </c>
      <c r="T76" s="12" t="s">
        <v>380</v>
      </c>
      <c r="U76" s="12" t="s">
        <v>424</v>
      </c>
      <c r="V76" s="12" t="s">
        <v>429</v>
      </c>
      <c r="W76" s="12" t="s">
        <v>430</v>
      </c>
      <c r="X76" s="12" t="s">
        <v>430</v>
      </c>
    </row>
    <row r="77" spans="2:24" ht="217.5" thickBot="1" x14ac:dyDescent="0.3">
      <c r="B77" s="10"/>
      <c r="C77" s="11" t="s">
        <v>431</v>
      </c>
      <c r="D77" s="15" t="s">
        <v>432</v>
      </c>
      <c r="E77" s="12">
        <v>1</v>
      </c>
      <c r="F77" s="12">
        <v>1</v>
      </c>
      <c r="G77" s="12">
        <v>1</v>
      </c>
      <c r="H77" s="12"/>
      <c r="I77" s="12" t="s">
        <v>33</v>
      </c>
      <c r="J77" s="12" t="s">
        <v>433</v>
      </c>
      <c r="K77" s="12"/>
      <c r="L77" s="12" t="s">
        <v>410</v>
      </c>
      <c r="M77" s="10"/>
      <c r="N77" s="16"/>
      <c r="O77" s="44" t="s">
        <v>434</v>
      </c>
      <c r="P77" s="12" t="e">
        <f>VLOOKUP(D77,[1]Validation!A:V,18,FALSE)</f>
        <v>#N/A</v>
      </c>
      <c r="Q77" s="12" t="e">
        <f>VLOOKUP(D77,[1]Validation!A:W,19,FALSE)</f>
        <v>#N/A</v>
      </c>
      <c r="R77" s="12" t="s">
        <v>127</v>
      </c>
      <c r="S77" s="12" t="s">
        <v>150</v>
      </c>
      <c r="T77" s="12"/>
      <c r="U77" s="12" t="s">
        <v>435</v>
      </c>
      <c r="V77" s="12" t="s">
        <v>429</v>
      </c>
      <c r="W77" s="12"/>
      <c r="X77" s="12"/>
    </row>
    <row r="78" spans="2:24" ht="16.5" thickBot="1" x14ac:dyDescent="0.3">
      <c r="B78" s="62" t="s">
        <v>436</v>
      </c>
      <c r="C78" s="63"/>
      <c r="D78" s="63"/>
      <c r="E78" s="63"/>
      <c r="F78" s="63"/>
      <c r="G78" s="63"/>
      <c r="H78" s="63"/>
      <c r="I78" s="63"/>
      <c r="J78" s="63"/>
      <c r="K78" s="63"/>
      <c r="L78" s="63"/>
      <c r="M78" s="64"/>
      <c r="N78" s="63"/>
      <c r="O78" s="65"/>
      <c r="P78" s="63"/>
      <c r="Q78" s="63"/>
      <c r="R78" s="63"/>
      <c r="S78" s="63"/>
      <c r="T78" s="63"/>
      <c r="U78" s="63"/>
      <c r="V78" s="63"/>
      <c r="W78" s="63"/>
      <c r="X78" s="63"/>
    </row>
    <row r="79" spans="2:24" ht="79.5" thickBot="1" x14ac:dyDescent="0.3">
      <c r="B79" s="10"/>
      <c r="C79" s="16"/>
      <c r="D79" s="20"/>
      <c r="E79" s="16"/>
      <c r="F79" s="16"/>
      <c r="G79" s="16"/>
      <c r="H79" s="16"/>
      <c r="I79" s="16" t="s">
        <v>437</v>
      </c>
      <c r="J79" s="66" t="s">
        <v>438</v>
      </c>
      <c r="K79" s="16"/>
      <c r="L79" s="16"/>
      <c r="M79" s="10"/>
      <c r="N79" s="16"/>
      <c r="O79" s="16"/>
      <c r="P79" s="16"/>
      <c r="Q79" s="16"/>
      <c r="R79" s="16" t="s">
        <v>127</v>
      </c>
      <c r="S79" s="16" t="s">
        <v>246</v>
      </c>
      <c r="T79" s="16" t="s">
        <v>439</v>
      </c>
      <c r="U79" s="16"/>
      <c r="V79" s="16"/>
      <c r="W79" s="16"/>
      <c r="X79" s="16"/>
    </row>
    <row r="80" spans="2:24" ht="105.95" customHeight="1" thickBot="1" x14ac:dyDescent="0.3">
      <c r="B80" s="10"/>
      <c r="C80" s="16"/>
      <c r="D80" s="67" t="s">
        <v>440</v>
      </c>
      <c r="E80" s="68" t="s">
        <v>33</v>
      </c>
      <c r="F80" s="68" t="s">
        <v>441</v>
      </c>
      <c r="G80" s="68"/>
      <c r="H80" s="69" t="s">
        <v>442</v>
      </c>
      <c r="I80" s="16" t="s">
        <v>33</v>
      </c>
      <c r="J80" s="70" t="s">
        <v>443</v>
      </c>
      <c r="K80" s="16"/>
      <c r="L80" s="69" t="s">
        <v>442</v>
      </c>
      <c r="M80" s="10"/>
      <c r="N80" s="16"/>
      <c r="O80" s="16"/>
      <c r="P80" s="16"/>
      <c r="Q80" s="16"/>
      <c r="R80" s="16" t="s">
        <v>127</v>
      </c>
      <c r="S80" s="16" t="s">
        <v>246</v>
      </c>
      <c r="T80" s="16" t="s">
        <v>439</v>
      </c>
      <c r="U80" s="16"/>
      <c r="V80" s="16"/>
      <c r="W80" s="16"/>
      <c r="X80" s="16"/>
    </row>
    <row r="81" spans="2:26" ht="90.75" customHeight="1" thickBot="1" x14ac:dyDescent="0.3">
      <c r="B81" s="10"/>
      <c r="C81" s="16"/>
      <c r="D81" s="67" t="s">
        <v>444</v>
      </c>
      <c r="E81" s="16"/>
      <c r="F81" s="16"/>
      <c r="G81" s="16"/>
      <c r="H81" s="16"/>
      <c r="I81" s="16" t="s">
        <v>33</v>
      </c>
      <c r="J81" s="70" t="s">
        <v>445</v>
      </c>
      <c r="K81" s="16"/>
      <c r="L81" s="69" t="s">
        <v>442</v>
      </c>
      <c r="M81" s="10"/>
      <c r="N81" s="16"/>
      <c r="O81" s="16"/>
      <c r="P81" s="16"/>
      <c r="Q81" s="16"/>
      <c r="R81" s="16" t="s">
        <v>127</v>
      </c>
      <c r="S81" s="16" t="s">
        <v>246</v>
      </c>
      <c r="T81" s="16" t="s">
        <v>439</v>
      </c>
      <c r="U81" s="16"/>
      <c r="V81" s="16"/>
      <c r="W81" s="16"/>
      <c r="X81" s="16"/>
    </row>
    <row r="82" spans="2:26" ht="77.25" customHeight="1" thickBot="1" x14ac:dyDescent="0.3">
      <c r="B82" s="10"/>
      <c r="C82" s="16"/>
      <c r="D82" s="67" t="s">
        <v>446</v>
      </c>
      <c r="E82" s="16"/>
      <c r="F82" s="16"/>
      <c r="G82" s="16"/>
      <c r="H82" s="16"/>
      <c r="I82" s="16" t="s">
        <v>33</v>
      </c>
      <c r="J82" s="70" t="s">
        <v>447</v>
      </c>
      <c r="K82" s="16"/>
      <c r="L82" s="69" t="s">
        <v>442</v>
      </c>
      <c r="M82" s="10"/>
      <c r="N82" s="16"/>
      <c r="O82" s="16"/>
      <c r="P82" s="16"/>
      <c r="Q82" s="16"/>
      <c r="R82" s="16" t="s">
        <v>127</v>
      </c>
      <c r="S82" s="16" t="s">
        <v>246</v>
      </c>
      <c r="T82" s="16" t="s">
        <v>439</v>
      </c>
      <c r="U82" s="16"/>
      <c r="V82" s="16"/>
      <c r="W82" s="16"/>
      <c r="X82" s="16"/>
    </row>
    <row r="83" spans="2:26" ht="63.75" thickBot="1" x14ac:dyDescent="0.3">
      <c r="B83" s="10"/>
      <c r="C83" s="16"/>
      <c r="D83" s="67" t="s">
        <v>448</v>
      </c>
      <c r="E83" s="16"/>
      <c r="F83" s="16"/>
      <c r="G83" s="16"/>
      <c r="H83" s="16"/>
      <c r="I83" s="16" t="s">
        <v>33</v>
      </c>
      <c r="J83" s="70" t="s">
        <v>449</v>
      </c>
      <c r="K83" s="16"/>
      <c r="L83" s="69" t="s">
        <v>442</v>
      </c>
      <c r="M83" s="68" t="s">
        <v>450</v>
      </c>
      <c r="N83" s="16"/>
      <c r="O83" s="16"/>
      <c r="P83" s="16"/>
      <c r="Q83" s="16"/>
      <c r="R83" s="16" t="s">
        <v>127</v>
      </c>
      <c r="S83" s="16" t="s">
        <v>246</v>
      </c>
      <c r="T83" s="16" t="s">
        <v>439</v>
      </c>
      <c r="U83" s="16"/>
      <c r="V83" s="16"/>
      <c r="W83" s="16"/>
      <c r="X83" s="16"/>
    </row>
    <row r="84" spans="2:26" ht="79.5" thickBot="1" x14ac:dyDescent="0.3">
      <c r="B84" s="10"/>
      <c r="C84" s="16"/>
      <c r="D84" s="67" t="s">
        <v>451</v>
      </c>
      <c r="E84" s="16"/>
      <c r="F84" s="16"/>
      <c r="G84" s="16"/>
      <c r="H84" s="16"/>
      <c r="I84" s="16" t="s">
        <v>33</v>
      </c>
      <c r="J84" s="70" t="s">
        <v>452</v>
      </c>
      <c r="K84" s="16"/>
      <c r="L84" s="69" t="s">
        <v>442</v>
      </c>
      <c r="M84" s="68" t="s">
        <v>450</v>
      </c>
      <c r="N84" s="16"/>
      <c r="O84" s="16"/>
      <c r="P84" s="16"/>
      <c r="Q84" s="16"/>
      <c r="R84" s="16" t="s">
        <v>127</v>
      </c>
      <c r="S84" s="16" t="s">
        <v>246</v>
      </c>
      <c r="T84" s="16" t="s">
        <v>439</v>
      </c>
      <c r="U84" s="16"/>
      <c r="V84" s="16"/>
      <c r="W84" s="16"/>
      <c r="X84" s="16"/>
    </row>
    <row r="85" spans="2:26" ht="63.75" thickBot="1" x14ac:dyDescent="0.3">
      <c r="B85" s="10"/>
      <c r="C85" s="16"/>
      <c r="D85" s="67" t="s">
        <v>453</v>
      </c>
      <c r="E85" s="16"/>
      <c r="F85" s="16"/>
      <c r="G85" s="16"/>
      <c r="H85" s="16"/>
      <c r="I85" s="16" t="s">
        <v>33</v>
      </c>
      <c r="J85" s="70" t="s">
        <v>454</v>
      </c>
      <c r="K85" s="16"/>
      <c r="L85" s="69" t="s">
        <v>455</v>
      </c>
      <c r="M85" s="68" t="s">
        <v>456</v>
      </c>
      <c r="N85" s="16"/>
      <c r="O85" s="16"/>
      <c r="P85" s="16"/>
      <c r="Q85" s="16"/>
      <c r="R85" s="16" t="s">
        <v>127</v>
      </c>
      <c r="S85" s="16" t="s">
        <v>246</v>
      </c>
      <c r="T85" s="16" t="s">
        <v>439</v>
      </c>
      <c r="U85" s="16"/>
      <c r="V85" s="16"/>
      <c r="W85" s="16"/>
      <c r="X85" s="16"/>
    </row>
    <row r="86" spans="2:26" ht="63.75" thickBot="1" x14ac:dyDescent="0.3">
      <c r="B86" s="10"/>
      <c r="C86" s="16"/>
      <c r="D86" s="67" t="s">
        <v>457</v>
      </c>
      <c r="E86" s="16"/>
      <c r="F86" s="16"/>
      <c r="G86" s="16"/>
      <c r="H86" s="16"/>
      <c r="I86" s="16" t="s">
        <v>33</v>
      </c>
      <c r="J86" s="70" t="s">
        <v>458</v>
      </c>
      <c r="K86" s="16"/>
      <c r="L86" s="69" t="s">
        <v>455</v>
      </c>
      <c r="M86" s="68" t="s">
        <v>459</v>
      </c>
      <c r="N86" s="16"/>
      <c r="O86" s="16"/>
      <c r="P86" s="16"/>
      <c r="Q86" s="16"/>
      <c r="R86" s="16" t="s">
        <v>127</v>
      </c>
      <c r="S86" s="16" t="s">
        <v>246</v>
      </c>
      <c r="T86" s="16" t="s">
        <v>439</v>
      </c>
      <c r="U86" s="16"/>
      <c r="V86" s="16"/>
      <c r="W86" s="16"/>
      <c r="X86" s="16"/>
    </row>
    <row r="87" spans="2:26" ht="63.75" thickBot="1" x14ac:dyDescent="0.3">
      <c r="B87" s="10"/>
      <c r="C87" s="16"/>
      <c r="D87" s="67" t="s">
        <v>460</v>
      </c>
      <c r="E87" s="16"/>
      <c r="F87" s="16"/>
      <c r="G87" s="16"/>
      <c r="H87" s="16"/>
      <c r="I87" s="16" t="s">
        <v>33</v>
      </c>
      <c r="J87" s="70" t="s">
        <v>461</v>
      </c>
      <c r="K87" s="16"/>
      <c r="L87" s="69" t="s">
        <v>462</v>
      </c>
      <c r="M87" s="68" t="s">
        <v>463</v>
      </c>
      <c r="N87" s="16"/>
      <c r="O87" s="16"/>
      <c r="P87" s="16"/>
      <c r="Q87" s="16"/>
      <c r="R87" s="16" t="s">
        <v>127</v>
      </c>
      <c r="S87" s="16" t="s">
        <v>246</v>
      </c>
      <c r="T87" s="16" t="s">
        <v>439</v>
      </c>
      <c r="U87" s="16"/>
      <c r="V87" s="16"/>
      <c r="W87" s="16"/>
      <c r="X87" s="16"/>
    </row>
    <row r="88" spans="2:26" ht="16.5" thickBot="1" x14ac:dyDescent="0.3">
      <c r="B88" s="71" t="s">
        <v>464</v>
      </c>
      <c r="C88" s="72"/>
      <c r="D88" s="72"/>
      <c r="E88" s="72"/>
      <c r="F88" s="72"/>
      <c r="G88" s="72"/>
      <c r="H88" s="72"/>
      <c r="I88" s="72"/>
      <c r="J88" s="72"/>
      <c r="K88" s="72"/>
      <c r="L88" s="72"/>
      <c r="M88" s="72"/>
      <c r="N88" s="72"/>
      <c r="O88" s="72"/>
      <c r="P88" s="72"/>
      <c r="Q88" s="72"/>
      <c r="R88" s="72"/>
      <c r="S88" s="72"/>
      <c r="T88" s="72"/>
      <c r="U88" s="72"/>
      <c r="V88" s="72"/>
      <c r="W88" s="72"/>
      <c r="X88" s="72"/>
    </row>
    <row r="89" spans="2:26" ht="166.5" customHeight="1" thickBot="1" x14ac:dyDescent="0.3">
      <c r="B89" s="10"/>
      <c r="C89" s="11"/>
      <c r="D89" s="15"/>
      <c r="E89" s="12">
        <v>1</v>
      </c>
      <c r="F89" s="12">
        <v>1</v>
      </c>
      <c r="G89" s="12">
        <v>1</v>
      </c>
      <c r="H89" s="12"/>
      <c r="I89" s="12" t="s">
        <v>314</v>
      </c>
      <c r="J89" s="73" t="s">
        <v>465</v>
      </c>
      <c r="K89" s="74"/>
      <c r="L89" s="55"/>
      <c r="M89" s="12"/>
      <c r="N89" s="12"/>
      <c r="O89" s="12"/>
      <c r="P89" s="12" t="e">
        <f>VLOOKUP(D89,[1]Validation!A:V,18,FALSE)</f>
        <v>#N/A</v>
      </c>
      <c r="Q89" s="12" t="e">
        <f>VLOOKUP(D89,[1]Validation!A:W,19,FALSE)</f>
        <v>#N/A</v>
      </c>
      <c r="R89" s="16" t="s">
        <v>29</v>
      </c>
      <c r="S89" s="16" t="s">
        <v>150</v>
      </c>
      <c r="T89" s="42"/>
      <c r="U89" s="12"/>
      <c r="V89" s="12"/>
      <c r="W89" s="12"/>
      <c r="X89" s="16"/>
    </row>
    <row r="90" spans="2:26" ht="64.5" thickBot="1" x14ac:dyDescent="0.3">
      <c r="B90" s="10"/>
      <c r="C90" s="11" t="s">
        <v>466</v>
      </c>
      <c r="D90" s="15" t="s">
        <v>467</v>
      </c>
      <c r="E90" s="12">
        <v>1</v>
      </c>
      <c r="F90" s="12">
        <v>1</v>
      </c>
      <c r="G90" s="12">
        <v>1</v>
      </c>
      <c r="H90" s="12"/>
      <c r="I90" s="12" t="s">
        <v>33</v>
      </c>
      <c r="J90" s="12" t="s">
        <v>468</v>
      </c>
      <c r="K90" s="55"/>
      <c r="L90" s="12" t="s">
        <v>320</v>
      </c>
      <c r="M90" s="44" t="s">
        <v>469</v>
      </c>
      <c r="N90" s="12"/>
      <c r="O90" s="12"/>
      <c r="P90" s="12" t="e">
        <f>VLOOKUP(D90,[1]Validation!A:V,18,FALSE)</f>
        <v>#N/A</v>
      </c>
      <c r="Q90" s="12" t="e">
        <f>VLOOKUP(D90,[1]Validation!A:W,19,FALSE)</f>
        <v>#N/A</v>
      </c>
      <c r="R90" s="16" t="s">
        <v>29</v>
      </c>
      <c r="S90" s="16" t="s">
        <v>150</v>
      </c>
      <c r="T90" s="10"/>
      <c r="U90" s="12" t="s">
        <v>470</v>
      </c>
      <c r="V90" s="12" t="s">
        <v>471</v>
      </c>
      <c r="W90" s="12"/>
      <c r="X90" s="12" t="s">
        <v>472</v>
      </c>
      <c r="Y90" s="19"/>
      <c r="Z90" s="19"/>
    </row>
    <row r="91" spans="2:26" ht="64.5" thickBot="1" x14ac:dyDescent="0.3">
      <c r="B91" s="10"/>
      <c r="C91" s="11" t="s">
        <v>473</v>
      </c>
      <c r="D91" s="15" t="s">
        <v>474</v>
      </c>
      <c r="E91" s="12">
        <v>1</v>
      </c>
      <c r="F91" s="12">
        <v>1</v>
      </c>
      <c r="G91" s="12">
        <v>1</v>
      </c>
      <c r="H91" s="12"/>
      <c r="I91" s="12" t="s">
        <v>33</v>
      </c>
      <c r="J91" s="12" t="s">
        <v>475</v>
      </c>
      <c r="K91" s="55"/>
      <c r="L91" s="12" t="s">
        <v>320</v>
      </c>
      <c r="M91" s="44" t="s">
        <v>469</v>
      </c>
      <c r="N91" s="12"/>
      <c r="O91" s="12"/>
      <c r="P91" s="12" t="e">
        <f>VLOOKUP(D91,[1]Validation!A:V,18,FALSE)</f>
        <v>#N/A</v>
      </c>
      <c r="Q91" s="12" t="e">
        <f>VLOOKUP(D91,[1]Validation!A:W,19,FALSE)</f>
        <v>#N/A</v>
      </c>
      <c r="R91" s="16" t="s">
        <v>29</v>
      </c>
      <c r="S91" s="16" t="s">
        <v>150</v>
      </c>
      <c r="T91" s="10"/>
      <c r="U91" s="12" t="s">
        <v>470</v>
      </c>
      <c r="V91" s="12" t="s">
        <v>471</v>
      </c>
      <c r="W91" s="12"/>
      <c r="X91" s="12"/>
      <c r="Y91" s="19"/>
      <c r="Z91" s="19"/>
    </row>
    <row r="92" spans="2:26" ht="51.75" thickBot="1" x14ac:dyDescent="0.3">
      <c r="B92" s="10"/>
      <c r="C92" s="11" t="s">
        <v>476</v>
      </c>
      <c r="D92" s="15" t="s">
        <v>477</v>
      </c>
      <c r="E92" s="12">
        <v>2</v>
      </c>
      <c r="F92" s="12">
        <v>1</v>
      </c>
      <c r="G92" s="12">
        <v>1</v>
      </c>
      <c r="H92" s="12"/>
      <c r="I92" s="12" t="s">
        <v>33</v>
      </c>
      <c r="J92" s="12" t="s">
        <v>478</v>
      </c>
      <c r="K92" s="55"/>
      <c r="L92" s="12" t="s">
        <v>320</v>
      </c>
      <c r="M92" s="12" t="s">
        <v>479</v>
      </c>
      <c r="N92" s="12"/>
      <c r="O92" s="12"/>
      <c r="P92" s="12" t="e">
        <f>VLOOKUP(D92,[1]Validation!A:V,18,FALSE)</f>
        <v>#N/A</v>
      </c>
      <c r="Q92" s="12" t="e">
        <f>VLOOKUP(D92,[1]Validation!A:W,19,FALSE)</f>
        <v>#N/A</v>
      </c>
      <c r="R92" s="16" t="s">
        <v>480</v>
      </c>
      <c r="S92" s="16" t="s">
        <v>481</v>
      </c>
      <c r="T92" s="16"/>
      <c r="U92" s="12"/>
      <c r="V92" s="12" t="s">
        <v>471</v>
      </c>
      <c r="W92" s="12"/>
      <c r="X92" s="12"/>
    </row>
    <row r="93" spans="2:26" ht="51.75" thickBot="1" x14ac:dyDescent="0.3">
      <c r="B93" s="10"/>
      <c r="C93" s="11" t="s">
        <v>482</v>
      </c>
      <c r="D93" s="15" t="s">
        <v>483</v>
      </c>
      <c r="E93" s="12">
        <v>2</v>
      </c>
      <c r="F93" s="12">
        <v>1</v>
      </c>
      <c r="G93" s="12">
        <v>1</v>
      </c>
      <c r="H93" s="12"/>
      <c r="I93" s="12" t="s">
        <v>33</v>
      </c>
      <c r="J93" s="12" t="s">
        <v>484</v>
      </c>
      <c r="K93" s="55"/>
      <c r="L93" s="12" t="s">
        <v>320</v>
      </c>
      <c r="M93" s="12" t="s">
        <v>479</v>
      </c>
      <c r="N93" s="12"/>
      <c r="O93" s="12"/>
      <c r="P93" s="12" t="e">
        <f>VLOOKUP(D93,[1]Validation!A:V,18,FALSE)</f>
        <v>#N/A</v>
      </c>
      <c r="Q93" s="12" t="e">
        <f>VLOOKUP(D93,[1]Validation!A:W,19,FALSE)</f>
        <v>#N/A</v>
      </c>
      <c r="R93" s="12" t="s">
        <v>480</v>
      </c>
      <c r="S93" s="12"/>
      <c r="T93" s="12"/>
      <c r="U93" s="12"/>
      <c r="V93" s="12" t="s">
        <v>93</v>
      </c>
      <c r="W93" s="12"/>
      <c r="X93" s="12"/>
    </row>
    <row r="94" spans="2:26" ht="77.25" thickBot="1" x14ac:dyDescent="0.3">
      <c r="B94" s="10"/>
      <c r="C94" s="11" t="s">
        <v>485</v>
      </c>
      <c r="D94" s="15" t="s">
        <v>486</v>
      </c>
      <c r="E94" s="12">
        <v>1</v>
      </c>
      <c r="F94" s="12">
        <v>1</v>
      </c>
      <c r="G94" s="12">
        <v>1</v>
      </c>
      <c r="H94" s="12"/>
      <c r="I94" s="12" t="s">
        <v>33</v>
      </c>
      <c r="J94" s="12" t="s">
        <v>487</v>
      </c>
      <c r="K94" s="55"/>
      <c r="L94" s="12" t="s">
        <v>488</v>
      </c>
      <c r="M94" s="12" t="s">
        <v>489</v>
      </c>
      <c r="N94" s="12"/>
      <c r="O94" s="12"/>
      <c r="P94" s="12" t="e">
        <f>VLOOKUP(D94,[1]Validation!A:V,18,FALSE)</f>
        <v>#N/A</v>
      </c>
      <c r="Q94" s="12" t="e">
        <f>VLOOKUP(D94,[1]Validation!A:W,19,FALSE)</f>
        <v>#N/A</v>
      </c>
      <c r="R94" s="12" t="s">
        <v>29</v>
      </c>
      <c r="S94" s="12" t="s">
        <v>150</v>
      </c>
      <c r="T94" s="10"/>
      <c r="U94" s="12" t="s">
        <v>470</v>
      </c>
      <c r="V94" s="12" t="s">
        <v>471</v>
      </c>
      <c r="W94" s="12"/>
      <c r="X94" s="12"/>
      <c r="Y94" s="19"/>
    </row>
    <row r="95" spans="2:26" ht="77.25" thickBot="1" x14ac:dyDescent="0.3">
      <c r="B95" s="10"/>
      <c r="C95" s="11" t="s">
        <v>490</v>
      </c>
      <c r="D95" s="15" t="s">
        <v>491</v>
      </c>
      <c r="E95" s="12">
        <v>1</v>
      </c>
      <c r="F95" s="12">
        <v>1</v>
      </c>
      <c r="G95" s="12">
        <v>1</v>
      </c>
      <c r="H95" s="12"/>
      <c r="I95" s="12" t="s">
        <v>33</v>
      </c>
      <c r="J95" s="12" t="s">
        <v>475</v>
      </c>
      <c r="K95" s="55"/>
      <c r="L95" s="12" t="s">
        <v>488</v>
      </c>
      <c r="M95" s="12" t="s">
        <v>492</v>
      </c>
      <c r="N95" s="12"/>
      <c r="O95" s="12"/>
      <c r="P95" s="12" t="e">
        <f>VLOOKUP(D95,[1]Validation!A:V,18,FALSE)</f>
        <v>#N/A</v>
      </c>
      <c r="Q95" s="12" t="e">
        <f>VLOOKUP(D95,[1]Validation!A:W,19,FALSE)</f>
        <v>#N/A</v>
      </c>
      <c r="R95" s="12" t="s">
        <v>29</v>
      </c>
      <c r="S95" s="12" t="s">
        <v>150</v>
      </c>
      <c r="T95" s="10"/>
      <c r="U95" s="12" t="s">
        <v>470</v>
      </c>
      <c r="V95" s="12" t="s">
        <v>471</v>
      </c>
      <c r="W95" s="12"/>
      <c r="X95" s="12"/>
      <c r="Y95" s="19"/>
    </row>
    <row r="96" spans="2:26" ht="77.25" thickBot="1" x14ac:dyDescent="0.3">
      <c r="B96" s="10"/>
      <c r="C96" s="11" t="s">
        <v>493</v>
      </c>
      <c r="D96" s="15" t="s">
        <v>494</v>
      </c>
      <c r="E96" s="12">
        <v>2</v>
      </c>
      <c r="F96" s="12">
        <v>1</v>
      </c>
      <c r="G96" s="12">
        <v>1</v>
      </c>
      <c r="H96" s="12"/>
      <c r="I96" s="12" t="s">
        <v>33</v>
      </c>
      <c r="J96" s="12" t="s">
        <v>478</v>
      </c>
      <c r="K96" s="55"/>
      <c r="L96" s="12" t="s">
        <v>488</v>
      </c>
      <c r="M96" s="12" t="s">
        <v>495</v>
      </c>
      <c r="N96" s="12"/>
      <c r="O96" s="12"/>
      <c r="P96" s="12" t="e">
        <f>VLOOKUP(D96,[1]Validation!A:V,18,FALSE)</f>
        <v>#N/A</v>
      </c>
      <c r="Q96" s="12" t="e">
        <f>VLOOKUP(D96,[1]Validation!A:W,19,FALSE)</f>
        <v>#N/A</v>
      </c>
      <c r="R96" s="12" t="s">
        <v>480</v>
      </c>
      <c r="S96" s="12"/>
      <c r="T96" s="16"/>
      <c r="U96" s="12"/>
      <c r="V96" s="12" t="s">
        <v>471</v>
      </c>
      <c r="W96" s="12"/>
      <c r="X96" s="12"/>
    </row>
    <row r="97" spans="2:24" ht="77.25" thickBot="1" x14ac:dyDescent="0.3">
      <c r="B97" s="10"/>
      <c r="C97" s="11" t="s">
        <v>496</v>
      </c>
      <c r="D97" s="15" t="s">
        <v>497</v>
      </c>
      <c r="E97" s="12">
        <v>2</v>
      </c>
      <c r="F97" s="12">
        <v>1</v>
      </c>
      <c r="G97" s="12">
        <v>1</v>
      </c>
      <c r="H97" s="12"/>
      <c r="I97" s="12" t="s">
        <v>33</v>
      </c>
      <c r="J97" s="12" t="s">
        <v>484</v>
      </c>
      <c r="K97" s="55"/>
      <c r="L97" s="12" t="s">
        <v>488</v>
      </c>
      <c r="M97" s="12" t="s">
        <v>498</v>
      </c>
      <c r="N97" s="12"/>
      <c r="O97" s="12"/>
      <c r="P97" s="12" t="e">
        <f>VLOOKUP(D97,[1]Validation!A:V,18,FALSE)</f>
        <v>#N/A</v>
      </c>
      <c r="Q97" s="12" t="e">
        <f>VLOOKUP(D97,[1]Validation!A:W,19,FALSE)</f>
        <v>#N/A</v>
      </c>
      <c r="R97" s="12" t="s">
        <v>480</v>
      </c>
      <c r="S97" s="12"/>
      <c r="T97" s="12"/>
      <c r="U97" s="12"/>
      <c r="V97" s="12" t="s">
        <v>93</v>
      </c>
      <c r="W97" s="12"/>
      <c r="X97" s="12"/>
    </row>
    <row r="98" spans="2:24" ht="90" thickBot="1" x14ac:dyDescent="0.3">
      <c r="B98" s="10"/>
      <c r="C98" s="11" t="s">
        <v>499</v>
      </c>
      <c r="D98" s="15" t="s">
        <v>500</v>
      </c>
      <c r="E98" s="12">
        <v>2</v>
      </c>
      <c r="F98" s="12">
        <v>1</v>
      </c>
      <c r="G98" s="12">
        <v>1</v>
      </c>
      <c r="H98" s="12"/>
      <c r="I98" s="12" t="s">
        <v>33</v>
      </c>
      <c r="J98" s="12" t="s">
        <v>501</v>
      </c>
      <c r="K98" s="55"/>
      <c r="L98" s="12" t="s">
        <v>502</v>
      </c>
      <c r="M98" s="12" t="s">
        <v>503</v>
      </c>
      <c r="N98" s="12"/>
      <c r="O98" s="12"/>
      <c r="P98" s="12" t="e">
        <f>VLOOKUP(D98,[1]Validation!A:V,18,FALSE)</f>
        <v>#N/A</v>
      </c>
      <c r="Q98" s="12" t="e">
        <f>VLOOKUP(D98,[1]Validation!A:W,19,FALSE)</f>
        <v>#N/A</v>
      </c>
      <c r="R98" s="12" t="s">
        <v>29</v>
      </c>
      <c r="S98" s="12" t="s">
        <v>150</v>
      </c>
      <c r="T98" s="12"/>
      <c r="U98" s="27" t="s">
        <v>504</v>
      </c>
      <c r="V98" s="12" t="s">
        <v>56</v>
      </c>
      <c r="W98" s="12"/>
      <c r="X98" s="12"/>
    </row>
    <row r="99" spans="2:24" ht="88.5" customHeight="1" thickBot="1" x14ac:dyDescent="0.3">
      <c r="B99" s="10"/>
      <c r="C99" s="11" t="s">
        <v>505</v>
      </c>
      <c r="D99" s="15" t="s">
        <v>506</v>
      </c>
      <c r="E99" s="12">
        <v>2</v>
      </c>
      <c r="F99" s="12">
        <v>1</v>
      </c>
      <c r="G99" s="12">
        <v>1</v>
      </c>
      <c r="H99" s="12"/>
      <c r="I99" s="12" t="s">
        <v>184</v>
      </c>
      <c r="J99" s="12" t="s">
        <v>507</v>
      </c>
      <c r="K99" s="55"/>
      <c r="L99" s="12" t="s">
        <v>508</v>
      </c>
      <c r="M99" s="12" t="s">
        <v>509</v>
      </c>
      <c r="N99" s="12"/>
      <c r="O99" s="12"/>
      <c r="P99" s="12" t="e">
        <f>VLOOKUP(D99,[1]Validation!A:V,18,FALSE)</f>
        <v>#N/A</v>
      </c>
      <c r="Q99" s="12" t="e">
        <f>VLOOKUP(D99,[1]Validation!A:W,19,FALSE)</f>
        <v>#N/A</v>
      </c>
      <c r="R99" s="12" t="s">
        <v>480</v>
      </c>
      <c r="S99" s="12"/>
      <c r="T99" s="12"/>
      <c r="U99" s="12"/>
      <c r="V99" s="12" t="s">
        <v>93</v>
      </c>
      <c r="W99" s="12"/>
      <c r="X99" s="12" t="s">
        <v>472</v>
      </c>
    </row>
    <row r="100" spans="2:24" x14ac:dyDescent="0.25"/>
  </sheetData>
  <mergeCells count="6">
    <mergeCell ref="B3:X3"/>
    <mergeCell ref="B19:X19"/>
    <mergeCell ref="B20:O20"/>
    <mergeCell ref="B21:X21"/>
    <mergeCell ref="B56:X56"/>
    <mergeCell ref="B88:X8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HH 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Ilgi Bozdag</dc:creator>
  <cp:lastModifiedBy>Ilgi Bozdag</cp:lastModifiedBy>
  <dcterms:created xsi:type="dcterms:W3CDTF">2026-10-29T12:43:31Z</dcterms:created>
  <dcterms:modified xsi:type="dcterms:W3CDTF">2026-10-29T12:59:20Z</dcterms:modified>
</cp:coreProperties>
</file>